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t Johan\2025\ChatBot AI\"/>
    </mc:Choice>
  </mc:AlternateContent>
  <bookViews>
    <workbookView xWindow="0" yWindow="0" windowWidth="20490" windowHeight="7350" activeTab="3"/>
  </bookViews>
  <sheets>
    <sheet name="Dunlop Shop" sheetId="1" r:id="rId1"/>
    <sheet name="DS Bronze" sheetId="5" r:id="rId2"/>
    <sheet name="dunlop_shops_direct_location" sheetId="4" state="hidden" r:id="rId3"/>
    <sheet name="Falken Shop" sheetId="6" r:id="rId4"/>
  </sheets>
  <externalReferences>
    <externalReference r:id="rId5"/>
  </externalReferences>
  <definedNames>
    <definedName name="_xlnm._FilterDatabase" localSheetId="0" hidden="1">'Dunlop Shop'!$O$6:$O$382</definedName>
    <definedName name="_Order1" hidden="1">255</definedName>
    <definedName name="BREAKDOWN_Crosstab" localSheetId="0">#REF!</definedName>
    <definedName name="BREAKDOWN_Crosstab" localSheetId="3">#REF!</definedName>
    <definedName name="BREAKDOWN_Crosstab">#REF!</definedName>
    <definedName name="Data_Aktual">dunlop_shops_direct_location!$A$2:$D$380</definedName>
    <definedName name="Data_Sumber">dunlop_shops_direct_location!$A$1:$D$380</definedName>
    <definedName name="EWTR" localSheetId="0">#REF!</definedName>
    <definedName name="EWTR" localSheetId="3">#REF!</definedName>
    <definedName name="EWTR">#REF!</definedName>
    <definedName name="_xlnm.Print_Area" localSheetId="0">'Dunlop Shop'!$B$1:$M$263</definedName>
    <definedName name="_xlnm.Print_Area" localSheetId="3">'Falken Shop'!$A$1:$K$8</definedName>
    <definedName name="_xlnm.Print_Titles" localSheetId="0">'Dunlop Shop'!$6:$6</definedName>
    <definedName name="_xlnm.Print_Titles" localSheetId="3">'Falken Shop'!$3:$4</definedName>
    <definedName name="RE" localSheetId="0">#REF!</definedName>
    <definedName name="RE" localSheetId="3">#REF!</definedName>
    <definedName name="RE">#REF!</definedName>
    <definedName name="UFPrn20040514161435" localSheetId="0">#REF!</definedName>
    <definedName name="UFPrn20040514161435" localSheetId="3">#REF!</definedName>
    <definedName name="UFPrn20040514161435">#REF!</definedName>
    <definedName name="UFPrn20040604" localSheetId="0">#REF!</definedName>
    <definedName name="UFPrn20040604" localSheetId="3">#REF!</definedName>
    <definedName name="UFPrn20040604">#REF!</definedName>
    <definedName name="UFPrn20040605094738" localSheetId="0">#REF!</definedName>
    <definedName name="UFPrn20040605094738" localSheetId="3">#REF!</definedName>
    <definedName name="UFPrn20040605094738">#REF!</definedName>
    <definedName name="UFPrn20040605095023" localSheetId="0">#REF!</definedName>
    <definedName name="UFPrn20040605095023" localSheetId="3">#REF!</definedName>
    <definedName name="UFPrn20040605095023">#REF!</definedName>
    <definedName name="UFPrn20040605095054" localSheetId="0">#REF!</definedName>
    <definedName name="UFPrn20040605095054" localSheetId="3">#REF!</definedName>
    <definedName name="UFPrn20040605095054">#REF!</definedName>
    <definedName name="UFPrn20040608093820" localSheetId="0">#REF!</definedName>
    <definedName name="UFPrn20040608093820" localSheetId="3">#REF!</definedName>
    <definedName name="UFPrn20040608093820">#REF!</definedName>
    <definedName name="UFPrn20040608104120" localSheetId="0">#REF!</definedName>
    <definedName name="UFPrn20040608104120" localSheetId="3">#REF!</definedName>
    <definedName name="UFPrn20040608104120">#REF!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5" i="6" l="1"/>
  <c r="C24" i="6"/>
  <c r="C26" i="6" s="1"/>
  <c r="Z22" i="6"/>
  <c r="Z21" i="6"/>
  <c r="Z20" i="6"/>
  <c r="Z19" i="6"/>
  <c r="Z18" i="6"/>
  <c r="Z17" i="6"/>
  <c r="Z16" i="6"/>
  <c r="Z15" i="6"/>
  <c r="Z14" i="6"/>
  <c r="Z13" i="6"/>
  <c r="Z12" i="6"/>
  <c r="A12" i="6"/>
  <c r="A13" i="6" s="1"/>
  <c r="A14" i="6" s="1"/>
  <c r="A15" i="6" s="1"/>
  <c r="A16" i="6" s="1"/>
  <c r="A17" i="6" s="1"/>
  <c r="A18" i="6" s="1"/>
  <c r="A19" i="6" s="1"/>
  <c r="A20" i="6" s="1"/>
  <c r="A21" i="6" s="1"/>
  <c r="A22" i="6" s="1"/>
  <c r="Z11" i="6"/>
  <c r="Z10" i="6"/>
  <c r="Z9" i="6"/>
  <c r="Z8" i="6"/>
  <c r="Z7" i="6"/>
  <c r="Z6" i="6"/>
  <c r="A6" i="6"/>
  <c r="A7" i="6" s="1"/>
  <c r="Z5" i="6"/>
  <c r="B384" i="1"/>
  <c r="A3" i="6" l="1"/>
  <c r="A8" i="6"/>
  <c r="A9" i="6" s="1"/>
  <c r="A10" i="6" s="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A3" i="1" l="1"/>
</calcChain>
</file>

<file path=xl/comments1.xml><?xml version="1.0" encoding="utf-8"?>
<comments xmlns="http://schemas.openxmlformats.org/spreadsheetml/2006/main">
  <authors>
    <author>Donny Rachman</author>
    <author>Balian Faj</author>
    <author>wulan</author>
    <author>Shibyani Fathi Mubarok</author>
    <author>Yuke Agustin</author>
    <author>Endy Jeri S.</author>
    <author>Wahyu Rahmat Hidayat</author>
  </authors>
  <commentList>
    <comment ref="F8" authorId="0" shapeId="0">
      <text>
        <r>
          <rPr>
            <b/>
            <sz val="9"/>
            <color indexed="81"/>
            <rFont val="Tahoma"/>
            <family val="2"/>
          </rPr>
          <t>Donny Rachman:</t>
        </r>
        <r>
          <rPr>
            <sz val="9"/>
            <color indexed="81"/>
            <rFont val="Tahoma"/>
            <family val="2"/>
          </rPr>
          <t xml:space="preserve">
UPGRADE DARI SIGNBOARD</t>
        </r>
      </text>
    </comment>
    <comment ref="F11" authorId="0" shapeId="0">
      <text>
        <r>
          <rPr>
            <b/>
            <sz val="9"/>
            <color indexed="81"/>
            <rFont val="Tahoma"/>
            <family val="2"/>
          </rPr>
          <t>Donny Rachman:</t>
        </r>
        <r>
          <rPr>
            <sz val="9"/>
            <color indexed="81"/>
            <rFont val="Tahoma"/>
            <family val="2"/>
          </rPr>
          <t xml:space="preserve">
UPGRADE DARI SIGNBOARD</t>
        </r>
      </text>
    </comment>
    <comment ref="G18" authorId="0" shapeId="0">
      <text>
        <r>
          <rPr>
            <b/>
            <sz val="10"/>
            <color indexed="81"/>
            <rFont val="Tahoma"/>
            <family val="2"/>
          </rPr>
          <t>Donny Rachman:</t>
        </r>
        <r>
          <rPr>
            <sz val="10"/>
            <color indexed="81"/>
            <rFont val="Tahoma"/>
            <family val="2"/>
          </rPr>
          <t xml:space="preserve">
Alamat kirim Bonus2 ke WR Supratman No. 114, Denpasar</t>
        </r>
      </text>
    </comment>
    <comment ref="F31" authorId="0" shapeId="0">
      <text>
        <r>
          <rPr>
            <b/>
            <sz val="9"/>
            <color indexed="81"/>
            <rFont val="Tahoma"/>
            <family val="2"/>
          </rPr>
          <t>Donny Rachman:</t>
        </r>
        <r>
          <rPr>
            <sz val="9"/>
            <color indexed="81"/>
            <rFont val="Tahoma"/>
            <family val="2"/>
          </rPr>
          <t xml:space="preserve">
Pajak tidak bisa diperpanjang karena tidak ada IMB</t>
        </r>
      </text>
    </comment>
    <comment ref="F33" authorId="1" shapeId="0">
      <text>
        <r>
          <rPr>
            <b/>
            <sz val="9"/>
            <color indexed="81"/>
            <rFont val="Tahoma"/>
            <family val="2"/>
          </rPr>
          <t>Balian Faj:</t>
        </r>
        <r>
          <rPr>
            <sz val="9"/>
            <color indexed="81"/>
            <rFont val="Tahoma"/>
            <family val="2"/>
          </rPr>
          <t xml:space="preserve">
Awal : Gtone/Ban Oli
Aristo Jaya ganti Auto Tyre ketika Repainting 2024</t>
        </r>
      </text>
    </comment>
    <comment ref="G33" authorId="1" shapeId="0">
      <text>
        <r>
          <rPr>
            <b/>
            <sz val="9"/>
            <color indexed="81"/>
            <rFont val="Tahoma"/>
            <family val="2"/>
          </rPr>
          <t>Balian Faj:</t>
        </r>
        <r>
          <rPr>
            <sz val="9"/>
            <color indexed="81"/>
            <rFont val="Tahoma"/>
            <family val="2"/>
          </rPr>
          <t xml:space="preserve">
alamat lama : Jl. Sandubaya No.16-17, Bertais, Sandubaya</t>
        </r>
      </text>
    </comment>
    <comment ref="F37" authorId="2" shapeId="0">
      <text>
        <r>
          <rPr>
            <b/>
            <sz val="9"/>
            <color indexed="81"/>
            <rFont val="Tahoma"/>
            <family val="2"/>
          </rPr>
          <t>wulan:</t>
        </r>
        <r>
          <rPr>
            <sz val="9"/>
            <color indexed="81"/>
            <rFont val="Tahoma"/>
            <family val="2"/>
          </rPr>
          <t xml:space="preserve">
Delta Motor</t>
        </r>
      </text>
    </comment>
    <comment ref="F43" authorId="0" shapeId="0">
      <text>
        <r>
          <rPr>
            <b/>
            <sz val="9"/>
            <color indexed="81"/>
            <rFont val="Tahoma"/>
            <family val="2"/>
          </rPr>
          <t>Donny Rachman:</t>
        </r>
        <r>
          <rPr>
            <sz val="9"/>
            <color indexed="81"/>
            <rFont val="Tahoma"/>
            <family val="2"/>
          </rPr>
          <t xml:space="preserve">
UPGRADE DARI SIGNBOARD</t>
        </r>
      </text>
    </comment>
    <comment ref="F51" authorId="0" shapeId="0">
      <text>
        <r>
          <rPr>
            <b/>
            <sz val="9"/>
            <color indexed="81"/>
            <rFont val="Tahoma"/>
            <family val="2"/>
          </rPr>
          <t>Donny Rachman:</t>
        </r>
        <r>
          <rPr>
            <sz val="9"/>
            <color indexed="81"/>
            <rFont val="Tahoma"/>
            <family val="2"/>
          </rPr>
          <t xml:space="preserve">
UPGRADE DARI SIGNBOARD</t>
        </r>
      </text>
    </comment>
    <comment ref="G51" authorId="3" shapeId="0">
      <text>
        <r>
          <rPr>
            <b/>
            <sz val="11"/>
            <color indexed="81"/>
            <rFont val="Tahoma"/>
            <family val="2"/>
          </rPr>
          <t>Actual DunlopShop Sinar oli Bengkulu Lokasinya d maps adalah Jl. Kolonel Burlian</t>
        </r>
      </text>
    </comment>
    <comment ref="L51" authorId="4" shapeId="0">
      <text>
        <r>
          <rPr>
            <b/>
            <sz val="9"/>
            <color indexed="81"/>
            <rFont val="Tahoma"/>
            <family val="2"/>
          </rPr>
          <t>Yuke Agustin:</t>
        </r>
        <r>
          <rPr>
            <sz val="9"/>
            <color indexed="81"/>
            <rFont val="Tahoma"/>
            <family val="2"/>
          </rPr>
          <t xml:space="preserve">
Nomor sebelumnya 081367721558</t>
        </r>
      </text>
    </comment>
    <comment ref="F72" authorId="1" shapeId="0">
      <text>
        <r>
          <rPr>
            <b/>
            <sz val="9"/>
            <color indexed="81"/>
            <rFont val="Tahoma"/>
            <family val="2"/>
          </rPr>
          <t>Balian Faj:</t>
        </r>
        <r>
          <rPr>
            <sz val="9"/>
            <color indexed="81"/>
            <rFont val="Tahoma"/>
            <family val="2"/>
          </rPr>
          <t xml:space="preserve">
Nama sebelumnya PURNAMA INDAH MOTOR</t>
        </r>
      </text>
    </comment>
    <comment ref="G75" authorId="0" shapeId="0">
      <text>
        <r>
          <rPr>
            <b/>
            <sz val="9"/>
            <color indexed="81"/>
            <rFont val="Tahoma"/>
            <family val="2"/>
          </rPr>
          <t>Donny Rachman:</t>
        </r>
        <r>
          <rPr>
            <sz val="9"/>
            <color indexed="81"/>
            <rFont val="Tahoma"/>
            <family val="2"/>
          </rPr>
          <t xml:space="preserve">
Toko Lama:
Jl. Dr. Djunjunan No.121 (Terusan Pasteur)</t>
        </r>
      </text>
    </comment>
    <comment ref="F80" authorId="2" shapeId="0">
      <text>
        <r>
          <rPr>
            <b/>
            <sz val="9"/>
            <color indexed="81"/>
            <rFont val="Tahoma"/>
            <family val="2"/>
          </rPr>
          <t>wulan:</t>
        </r>
        <r>
          <rPr>
            <sz val="9"/>
            <color indexed="81"/>
            <rFont val="Tahoma"/>
            <family val="2"/>
          </rPr>
          <t xml:space="preserve">
Sebelumnya STAR SUBUR MANDIRI
Info ganti Nama dari PIC 3/12/2020</t>
        </r>
      </text>
    </comment>
    <comment ref="F82" authorId="0" shapeId="0">
      <text>
        <r>
          <rPr>
            <b/>
            <sz val="9"/>
            <color indexed="81"/>
            <rFont val="Tahoma"/>
            <family val="2"/>
          </rPr>
          <t>Donny Rachman:</t>
        </r>
        <r>
          <rPr>
            <sz val="9"/>
            <color indexed="81"/>
            <rFont val="Tahoma"/>
            <family val="2"/>
          </rPr>
          <t xml:space="preserve">
UPGRADE DARI SIGNBOARD</t>
        </r>
      </text>
    </comment>
    <comment ref="F86" authorId="5" shapeId="0">
      <text>
        <r>
          <rPr>
            <b/>
            <sz val="9"/>
            <color indexed="81"/>
            <rFont val="Tahoma"/>
            <family val="2"/>
          </rPr>
          <t>Endy Jeri S.:</t>
        </r>
        <r>
          <rPr>
            <sz val="9"/>
            <color indexed="81"/>
            <rFont val="Tahoma"/>
            <family val="2"/>
          </rPr>
          <t xml:space="preserve">
Raja Ban Buah Batu</t>
        </r>
      </text>
    </comment>
    <comment ref="F87" authorId="1" shapeId="0">
      <text>
        <r>
          <rPr>
            <b/>
            <sz val="9"/>
            <color indexed="81"/>
            <rFont val="Tahoma"/>
            <family val="2"/>
          </rPr>
          <t>Balian Faj:</t>
        </r>
        <r>
          <rPr>
            <sz val="9"/>
            <color indexed="81"/>
            <rFont val="Tahoma"/>
            <family val="2"/>
          </rPr>
          <t xml:space="preserve">
Upgrade Signboard</t>
        </r>
      </text>
    </comment>
    <comment ref="F90" authorId="0" shapeId="0">
      <text>
        <r>
          <rPr>
            <b/>
            <sz val="9"/>
            <color indexed="81"/>
            <rFont val="Tahoma"/>
            <family val="2"/>
          </rPr>
          <t>Donny Rachman:</t>
        </r>
        <r>
          <rPr>
            <sz val="9"/>
            <color indexed="81"/>
            <rFont val="Tahoma"/>
            <family val="2"/>
          </rPr>
          <t xml:space="preserve">
Gading Serpong</t>
        </r>
      </text>
    </comment>
    <comment ref="F91" authorId="0" shapeId="0">
      <text>
        <r>
          <rPr>
            <b/>
            <sz val="9"/>
            <color indexed="81"/>
            <rFont val="Tahoma"/>
            <family val="2"/>
          </rPr>
          <t>Donny Rachman:</t>
        </r>
        <r>
          <rPr>
            <sz val="9"/>
            <color indexed="81"/>
            <rFont val="Tahoma"/>
            <family val="2"/>
          </rPr>
          <t xml:space="preserve">
Cinere</t>
        </r>
      </text>
    </comment>
    <comment ref="F92" authorId="0" shapeId="0">
      <text>
        <r>
          <rPr>
            <b/>
            <sz val="9"/>
            <color indexed="81"/>
            <rFont val="Tahoma"/>
            <family val="2"/>
          </rPr>
          <t>Donny Rachman:</t>
        </r>
        <r>
          <rPr>
            <sz val="9"/>
            <color indexed="81"/>
            <rFont val="Tahoma"/>
            <family val="2"/>
          </rPr>
          <t xml:space="preserve">
Graha Raya</t>
        </r>
      </text>
    </comment>
    <comment ref="F93" authorId="0" shapeId="0">
      <text>
        <r>
          <rPr>
            <b/>
            <sz val="9"/>
            <color indexed="81"/>
            <rFont val="Tahoma"/>
            <family val="2"/>
          </rPr>
          <t>Donny Rachman:</t>
        </r>
        <r>
          <rPr>
            <sz val="9"/>
            <color indexed="81"/>
            <rFont val="Tahoma"/>
            <family val="2"/>
          </rPr>
          <t xml:space="preserve">
Bintaro sektor 9</t>
        </r>
      </text>
    </comment>
    <comment ref="F100" authorId="0" shapeId="0">
      <text>
        <r>
          <rPr>
            <b/>
            <sz val="9"/>
            <color indexed="81"/>
            <rFont val="Tahoma"/>
            <family val="2"/>
          </rPr>
          <t>Donny Rachman:</t>
        </r>
        <r>
          <rPr>
            <sz val="9"/>
            <color indexed="81"/>
            <rFont val="Tahoma"/>
            <family val="2"/>
          </rPr>
          <t xml:space="preserve">
Perubahan nama pada Papan
Sebelumnya: </t>
        </r>
        <r>
          <rPr>
            <b/>
            <sz val="9"/>
            <color indexed="81"/>
            <rFont val="Tahoma"/>
            <family val="2"/>
          </rPr>
          <t>Pit Stop</t>
        </r>
      </text>
    </comment>
    <comment ref="F101" authorId="1" shapeId="0">
      <text>
        <r>
          <rPr>
            <b/>
            <sz val="9"/>
            <color indexed="81"/>
            <rFont val="Tahoma"/>
            <family val="2"/>
          </rPr>
          <t>Balian Faj:</t>
        </r>
        <r>
          <rPr>
            <sz val="9"/>
            <color indexed="81"/>
            <rFont val="Tahoma"/>
            <family val="2"/>
          </rPr>
          <t xml:space="preserve">
nama sebelumnya DUA SEKAWAN</t>
        </r>
      </text>
    </comment>
    <comment ref="F103" authorId="0" shapeId="0">
      <text>
        <r>
          <rPr>
            <b/>
            <sz val="9"/>
            <color indexed="81"/>
            <rFont val="Tahoma"/>
            <family val="2"/>
          </rPr>
          <t>Donny Rachman:</t>
        </r>
        <r>
          <rPr>
            <sz val="9"/>
            <color indexed="81"/>
            <rFont val="Tahoma"/>
            <family val="2"/>
          </rPr>
          <t xml:space="preserve">
Berubah nama dari Saputir Ban
desain 25 Juli 2018</t>
        </r>
      </text>
    </comment>
    <comment ref="F107" authorId="0" shapeId="0">
      <text>
        <r>
          <rPr>
            <b/>
            <sz val="9"/>
            <color indexed="81"/>
            <rFont val="Tahoma"/>
            <family val="2"/>
          </rPr>
          <t>Donny Rachman:</t>
        </r>
        <r>
          <rPr>
            <sz val="9"/>
            <color indexed="81"/>
            <rFont val="Tahoma"/>
            <family val="2"/>
          </rPr>
          <t xml:space="preserve">
TOKO KE-2
LANCAR JAYA BAN</t>
        </r>
      </text>
    </comment>
    <comment ref="F108" authorId="0" shapeId="0">
      <text>
        <r>
          <rPr>
            <b/>
            <sz val="9"/>
            <color indexed="81"/>
            <rFont val="Tahoma"/>
            <family val="2"/>
          </rPr>
          <t>Donny Rachman:</t>
        </r>
        <r>
          <rPr>
            <sz val="9"/>
            <color indexed="81"/>
            <rFont val="Tahoma"/>
            <family val="2"/>
          </rPr>
          <t xml:space="preserve">
berubah nama (repaint) dari FERRARI MOTOR menjadi FERARI AUSELINDO</t>
        </r>
      </text>
    </comment>
    <comment ref="F110" authorId="0" shapeId="0">
      <text>
        <r>
          <rPr>
            <b/>
            <sz val="9"/>
            <color indexed="81"/>
            <rFont val="Tahoma"/>
            <family val="2"/>
          </rPr>
          <t>Donny Rachman:</t>
        </r>
        <r>
          <rPr>
            <sz val="9"/>
            <color indexed="81"/>
            <rFont val="Tahoma"/>
            <family val="2"/>
          </rPr>
          <t xml:space="preserve">
UPGRADE DARI SIGNBOARD</t>
        </r>
      </text>
    </comment>
    <comment ref="F111" authorId="6" shapeId="0">
      <text>
        <r>
          <rPr>
            <b/>
            <sz val="9"/>
            <color indexed="81"/>
            <rFont val="Tahoma"/>
            <family val="2"/>
          </rPr>
          <t>Wahyu Rahmat Hidayat:</t>
        </r>
        <r>
          <rPr>
            <sz val="9"/>
            <color indexed="81"/>
            <rFont val="Tahoma"/>
            <family val="2"/>
          </rPr>
          <t xml:space="preserve">
Istana Raja Ban</t>
        </r>
      </text>
    </comment>
    <comment ref="F116" authorId="0" shapeId="0">
      <text>
        <r>
          <rPr>
            <b/>
            <sz val="9"/>
            <color indexed="81"/>
            <rFont val="Tahoma"/>
            <family val="2"/>
          </rPr>
          <t>Donny Rachman:</t>
        </r>
        <r>
          <rPr>
            <sz val="9"/>
            <color indexed="81"/>
            <rFont val="Tahoma"/>
            <family val="2"/>
          </rPr>
          <t xml:space="preserve">
UPGRADE DARI SIGNBOARD</t>
        </r>
      </text>
    </comment>
    <comment ref="F119" authorId="3" shapeId="0">
      <text>
        <r>
          <rPr>
            <b/>
            <sz val="9"/>
            <color indexed="81"/>
            <rFont val="Tahoma"/>
            <family val="2"/>
          </rPr>
          <t>Nama Lain : Sentra ban</t>
        </r>
      </text>
    </comment>
    <comment ref="G119" authorId="4" shapeId="0">
      <text>
        <r>
          <rPr>
            <b/>
            <sz val="9"/>
            <color indexed="81"/>
            <rFont val="Tahoma"/>
            <family val="2"/>
          </rPr>
          <t>Yuke Agustin:</t>
        </r>
        <r>
          <rPr>
            <sz val="9"/>
            <color indexed="81"/>
            <rFont val="Tahoma"/>
            <family val="2"/>
          </rPr>
          <t xml:space="preserve">
INI ALAMAT LAMA: 
Jl. Benteng Betawi Ruko Jati No. 5, Taman Royal III (Dekat Terminal Poris), Tangerang, Banten</t>
        </r>
      </text>
    </comment>
    <comment ref="F121" authorId="1" shapeId="0">
      <text>
        <r>
          <rPr>
            <b/>
            <sz val="9"/>
            <color indexed="81"/>
            <rFont val="Tahoma"/>
            <family val="2"/>
          </rPr>
          <t>Balian Faj:</t>
        </r>
        <r>
          <rPr>
            <sz val="9"/>
            <color indexed="81"/>
            <rFont val="Tahoma"/>
            <family val="2"/>
          </rPr>
          <t xml:space="preserve">
Murah Ban Putra berganti nama ada suratnya</t>
        </r>
      </text>
    </comment>
    <comment ref="F138" authorId="0" shapeId="0">
      <text>
        <r>
          <rPr>
            <b/>
            <sz val="9"/>
            <color indexed="81"/>
            <rFont val="Tahoma"/>
            <family val="2"/>
          </rPr>
          <t>Donny Rachman:</t>
        </r>
        <r>
          <rPr>
            <sz val="9"/>
            <color indexed="81"/>
            <rFont val="Tahoma"/>
            <family val="2"/>
          </rPr>
          <t xml:space="preserve">
Perubahan Nama dari Unoin Motor 2</t>
        </r>
      </text>
    </comment>
    <comment ref="F142" authorId="0" shapeId="0">
      <text>
        <r>
          <rPr>
            <b/>
            <sz val="9"/>
            <color indexed="81"/>
            <rFont val="Tahoma"/>
            <family val="2"/>
          </rPr>
          <t>Donny Rachman:</t>
        </r>
        <r>
          <rPr>
            <sz val="9"/>
            <color indexed="81"/>
            <rFont val="Tahoma"/>
            <family val="2"/>
          </rPr>
          <t xml:space="preserve">
Bintaro Sektor 3</t>
        </r>
      </text>
    </comment>
    <comment ref="F144" authorId="2" shapeId="0">
      <text>
        <r>
          <rPr>
            <b/>
            <sz val="9"/>
            <color indexed="81"/>
            <rFont val="Tahoma"/>
            <family val="2"/>
          </rPr>
          <t>wulan:</t>
        </r>
        <r>
          <rPr>
            <sz val="9"/>
            <color indexed="81"/>
            <rFont val="Tahoma"/>
            <family val="2"/>
          </rPr>
          <t xml:space="preserve">
New Building
</t>
        </r>
      </text>
    </comment>
    <comment ref="F145" authorId="1" shapeId="0">
      <text>
        <r>
          <rPr>
            <b/>
            <sz val="9"/>
            <color indexed="81"/>
            <rFont val="Tahoma"/>
            <family val="2"/>
          </rPr>
          <t>Balian Faj:</t>
        </r>
        <r>
          <rPr>
            <sz val="9"/>
            <color indexed="81"/>
            <rFont val="Tahoma"/>
            <family val="2"/>
          </rPr>
          <t xml:space="preserve">
Uograde Signboard</t>
        </r>
      </text>
    </comment>
    <comment ref="F146" authorId="1" shapeId="0">
      <text>
        <r>
          <rPr>
            <b/>
            <sz val="9"/>
            <color indexed="81"/>
            <rFont val="Tahoma"/>
            <family val="2"/>
          </rPr>
          <t>Balian Faj:</t>
        </r>
        <r>
          <rPr>
            <sz val="9"/>
            <color indexed="81"/>
            <rFont val="Tahoma"/>
            <family val="2"/>
          </rPr>
          <t xml:space="preserve">
Toko group lancar jaya ban &amp; Factory ban</t>
        </r>
      </text>
    </comment>
    <comment ref="F158" authorId="0" shapeId="0">
      <text>
        <r>
          <rPr>
            <b/>
            <sz val="9"/>
            <color indexed="81"/>
            <rFont val="Tahoma"/>
            <family val="2"/>
          </rPr>
          <t>Donny Rachman:</t>
        </r>
        <r>
          <rPr>
            <sz val="9"/>
            <color indexed="81"/>
            <rFont val="Tahoma"/>
            <family val="2"/>
          </rPr>
          <t xml:space="preserve">
UPGRADE DARI SIGNBOARD</t>
        </r>
      </text>
    </comment>
    <comment ref="F162" authorId="1" shapeId="0">
      <text>
        <r>
          <rPr>
            <b/>
            <sz val="9"/>
            <color indexed="81"/>
            <rFont val="Tahoma"/>
            <family val="2"/>
          </rPr>
          <t>Balian Faj:</t>
        </r>
        <r>
          <rPr>
            <sz val="9"/>
            <color indexed="81"/>
            <rFont val="Tahoma"/>
            <family val="2"/>
          </rPr>
          <t xml:space="preserve">
Ganti nama dari "AMS Ban" menjadi "Karanganyar Ban 2"</t>
        </r>
      </text>
    </comment>
    <comment ref="F166" authorId="1" shapeId="0">
      <text>
        <r>
          <rPr>
            <b/>
            <sz val="9"/>
            <color indexed="81"/>
            <rFont val="Tahoma"/>
            <family val="2"/>
          </rPr>
          <t>Balian Faj:</t>
        </r>
        <r>
          <rPr>
            <sz val="9"/>
            <color indexed="81"/>
            <rFont val="Tahoma"/>
            <family val="2"/>
          </rPr>
          <t xml:space="preserve">
Nama sebelumnya FORTUNA AUTO SERVICE diganti dengan surat tgl 25 Sept 2024</t>
        </r>
      </text>
    </comment>
    <comment ref="F178" authorId="0" shapeId="0">
      <text>
        <r>
          <rPr>
            <b/>
            <sz val="9"/>
            <color indexed="81"/>
            <rFont val="Tahoma"/>
            <family val="2"/>
          </rPr>
          <t>Donny Rachman:</t>
        </r>
        <r>
          <rPr>
            <sz val="9"/>
            <color indexed="81"/>
            <rFont val="Tahoma"/>
            <family val="2"/>
          </rPr>
          <t xml:space="preserve">
Toko ke 2 MAJU SEMPURNA BAN</t>
        </r>
      </text>
    </comment>
    <comment ref="F179" authorId="4" shapeId="0">
      <text>
        <r>
          <rPr>
            <b/>
            <sz val="9"/>
            <color indexed="81"/>
            <rFont val="Tahoma"/>
            <family val="2"/>
          </rPr>
          <t>Yuke Agustin:</t>
        </r>
        <r>
          <rPr>
            <sz val="9"/>
            <color indexed="81"/>
            <rFont val="Tahoma"/>
            <family val="2"/>
          </rPr>
          <t xml:space="preserve">
12/07/22
TERAKHIR TOKO INFO MINTA DIKIRIM KE JL.PEMUDA NO.49 BOJA (SEBELAH KAPOLSEK BOJA, SEMARANG)</t>
        </r>
      </text>
    </comment>
    <comment ref="G183" authorId="2" shapeId="0">
      <text>
        <r>
          <rPr>
            <b/>
            <sz val="9"/>
            <color indexed="81"/>
            <rFont val="Tahoma"/>
            <family val="2"/>
          </rPr>
          <t>wulan:</t>
        </r>
        <r>
          <rPr>
            <sz val="9"/>
            <color indexed="81"/>
            <rFont val="Tahoma"/>
            <family val="2"/>
          </rPr>
          <t xml:space="preserve">
Alamat sebelumnya di
Jl. IR. Soekarno Solo Baru, SPBU Pertamina 41.575.01
Kemudian owner minta diganti ke alamat sekarang
Alamat ke 2 ini tidak dipakai lagi karena udah relokasi dan repainting.
Jl. Raya Yos Sudarso, Tanjung Anom No.9 (Sumber Rezeki Jaya Perkasa - Dekat Patung Soekarno), Solo Baru</t>
        </r>
      </text>
    </comment>
    <comment ref="F186" authorId="5" shapeId="0">
      <text>
        <r>
          <rPr>
            <b/>
            <sz val="9"/>
            <color indexed="81"/>
            <rFont val="Tahoma"/>
            <family val="2"/>
          </rPr>
          <t>Endy Jeri S.:</t>
        </r>
        <r>
          <rPr>
            <sz val="9"/>
            <color indexed="81"/>
            <rFont val="Tahoma"/>
            <family val="2"/>
          </rPr>
          <t xml:space="preserve">
Sebelumnya Bintang Terang</t>
        </r>
      </text>
    </comment>
    <comment ref="F188" authorId="0" shapeId="0">
      <text>
        <r>
          <rPr>
            <b/>
            <sz val="9"/>
            <color indexed="81"/>
            <rFont val="Tahoma"/>
            <family val="2"/>
          </rPr>
          <t>Donny Rachman:</t>
        </r>
        <r>
          <rPr>
            <sz val="9"/>
            <color indexed="81"/>
            <rFont val="Tahoma"/>
            <family val="2"/>
          </rPr>
          <t xml:space="preserve">
Toko Pindah Tempat (Ada Surat)</t>
        </r>
      </text>
    </comment>
    <comment ref="G188" authorId="0" shapeId="0">
      <text>
        <r>
          <rPr>
            <b/>
            <sz val="9"/>
            <color indexed="81"/>
            <rFont val="Tahoma"/>
            <family val="2"/>
          </rPr>
          <t>Donny Rachman:</t>
        </r>
        <r>
          <rPr>
            <sz val="9"/>
            <color indexed="81"/>
            <rFont val="Tahoma"/>
            <family val="2"/>
          </rPr>
          <t xml:space="preserve">
alamat lama
Jl. Gajahmada No.86 RT. 01/02, Kel. Pekauman, Kec. Tegal Barat, Tegal</t>
        </r>
      </text>
    </comment>
    <comment ref="F189" authorId="0" shapeId="0">
      <text>
        <r>
          <rPr>
            <b/>
            <sz val="9"/>
            <color indexed="81"/>
            <rFont val="Tahoma"/>
            <family val="2"/>
          </rPr>
          <t>Donny Rachman:</t>
        </r>
        <r>
          <rPr>
            <sz val="9"/>
            <color indexed="81"/>
            <rFont val="Tahoma"/>
            <family val="2"/>
          </rPr>
          <t xml:space="preserve">
UPGRADE DARI SIGNBOARD</t>
        </r>
      </text>
    </comment>
    <comment ref="F191" authorId="1" shapeId="0">
      <text>
        <r>
          <rPr>
            <b/>
            <sz val="9"/>
            <color indexed="81"/>
            <rFont val="Tahoma"/>
            <family val="2"/>
          </rPr>
          <t>Balian Faj:</t>
        </r>
        <r>
          <rPr>
            <sz val="9"/>
            <color indexed="81"/>
            <rFont val="Tahoma"/>
            <family val="2"/>
          </rPr>
          <t xml:space="preserve">
nama di papan "SARANA HARAPN ABADI'
</t>
        </r>
      </text>
    </comment>
    <comment ref="F193" authorId="0" shapeId="0">
      <text>
        <r>
          <rPr>
            <b/>
            <sz val="9"/>
            <color indexed="81"/>
            <rFont val="Tahoma"/>
            <family val="2"/>
          </rPr>
          <t>Donny Rachman:</t>
        </r>
        <r>
          <rPr>
            <sz val="9"/>
            <color indexed="81"/>
            <rFont val="Tahoma"/>
            <family val="2"/>
          </rPr>
          <t xml:space="preserve">
UPGRADE DARI SIGNBOARD</t>
        </r>
      </text>
    </comment>
    <comment ref="F194" authorId="5" shapeId="0">
      <text>
        <r>
          <rPr>
            <b/>
            <sz val="9"/>
            <color indexed="81"/>
            <rFont val="Tahoma"/>
            <family val="2"/>
          </rPr>
          <t>Endy Jeri S.:</t>
        </r>
        <r>
          <rPr>
            <sz val="9"/>
            <color indexed="81"/>
            <rFont val="Tahoma"/>
            <family val="2"/>
          </rPr>
          <t xml:space="preserve">
Fajar Baru</t>
        </r>
      </text>
    </comment>
    <comment ref="F198" authorId="0" shapeId="0">
      <text>
        <r>
          <rPr>
            <b/>
            <sz val="9"/>
            <color indexed="81"/>
            <rFont val="Tahoma"/>
            <family val="2"/>
          </rPr>
          <t>Donny Rachman:</t>
        </r>
        <r>
          <rPr>
            <sz val="9"/>
            <color indexed="81"/>
            <rFont val="Tahoma"/>
            <family val="2"/>
          </rPr>
          <t xml:space="preserve">
UPGRADE DARI SIGNBOARD</t>
        </r>
      </text>
    </comment>
    <comment ref="F203" authorId="2" shapeId="0">
      <text>
        <r>
          <rPr>
            <b/>
            <sz val="9"/>
            <color indexed="81"/>
            <rFont val="Tahoma"/>
            <family val="2"/>
          </rPr>
          <t>wulan:</t>
        </r>
        <r>
          <rPr>
            <sz val="9"/>
            <color indexed="81"/>
            <rFont val="Tahoma"/>
            <family val="2"/>
          </rPr>
          <t xml:space="preserve">
New Building
</t>
        </r>
      </text>
    </comment>
    <comment ref="G205" authorId="0" shapeId="0">
      <text>
        <r>
          <rPr>
            <b/>
            <sz val="9"/>
            <color indexed="81"/>
            <rFont val="Tahoma"/>
            <family val="2"/>
          </rPr>
          <t>Donny Rachman:</t>
        </r>
        <r>
          <rPr>
            <sz val="9"/>
            <color indexed="81"/>
            <rFont val="Tahoma"/>
            <family val="2"/>
          </rPr>
          <t xml:space="preserve">
Toko direlokasi oleh pemilik toko dan biaya ditanggung pemilik toko
</t>
        </r>
        <r>
          <rPr>
            <b/>
            <sz val="9"/>
            <color indexed="81"/>
            <rFont val="Tahoma"/>
            <family val="2"/>
          </rPr>
          <t>awal:</t>
        </r>
        <r>
          <rPr>
            <sz val="9"/>
            <color indexed="81"/>
            <rFont val="Tahoma"/>
            <family val="2"/>
          </rPr>
          <t xml:space="preserve"> Jl. Mayjend Sungkono Km.2, Purbalingga,
Jawa Tengah.
</t>
        </r>
        <r>
          <rPr>
            <b/>
            <sz val="9"/>
            <color indexed="81"/>
            <rFont val="Tahoma"/>
            <family val="2"/>
          </rPr>
          <t>relokasi:</t>
        </r>
        <r>
          <rPr>
            <sz val="9"/>
            <color indexed="81"/>
            <rFont val="Tahoma"/>
            <family val="2"/>
          </rPr>
          <t xml:space="preserve"> Jl. Jend. Sudirman No.215, Bancar, Kec. Purbalingga, Kab. Purbalingga, Jawa Tengah</t>
        </r>
      </text>
    </comment>
    <comment ref="F211" authorId="5" shapeId="0">
      <text>
        <r>
          <rPr>
            <b/>
            <sz val="9"/>
            <color indexed="81"/>
            <rFont val="Tahoma"/>
            <family val="2"/>
          </rPr>
          <t>Endy Jeri S.:</t>
        </r>
        <r>
          <rPr>
            <sz val="9"/>
            <color indexed="81"/>
            <rFont val="Tahoma"/>
            <family val="2"/>
          </rPr>
          <t xml:space="preserve">
satu grup dengan Cita Taman Sejahtera</t>
        </r>
      </text>
    </comment>
    <comment ref="F214" authorId="2" shapeId="0">
      <text>
        <r>
          <rPr>
            <b/>
            <sz val="9"/>
            <color indexed="81"/>
            <rFont val="Tahoma"/>
            <family val="2"/>
          </rPr>
          <t>wulan:</t>
        </r>
        <r>
          <rPr>
            <sz val="9"/>
            <color indexed="81"/>
            <rFont val="Tahoma"/>
            <family val="2"/>
          </rPr>
          <t xml:space="preserve">
Aneka Ban Krian</t>
        </r>
      </text>
    </comment>
    <comment ref="F218" authorId="2" shapeId="0">
      <text>
        <r>
          <rPr>
            <b/>
            <sz val="9"/>
            <color indexed="81"/>
            <rFont val="Tahoma"/>
            <family val="2"/>
          </rPr>
          <t>wulan:</t>
        </r>
        <r>
          <rPr>
            <sz val="9"/>
            <color indexed="81"/>
            <rFont val="Tahoma"/>
            <family val="2"/>
          </rPr>
          <t xml:space="preserve">
Arga Ban</t>
        </r>
      </text>
    </comment>
    <comment ref="F220" authorId="0" shapeId="0">
      <text>
        <r>
          <rPr>
            <b/>
            <sz val="9"/>
            <color indexed="81"/>
            <rFont val="Tahoma"/>
            <family val="2"/>
          </rPr>
          <t>Donny Rachman:</t>
        </r>
        <r>
          <rPr>
            <sz val="9"/>
            <color indexed="81"/>
            <rFont val="Tahoma"/>
            <family val="2"/>
          </rPr>
          <t xml:space="preserve">
ANDI MOTOR MALANG</t>
        </r>
      </text>
    </comment>
    <comment ref="F224" authorId="0" shapeId="0">
      <text>
        <r>
          <rPr>
            <b/>
            <sz val="9"/>
            <color indexed="81"/>
            <rFont val="Tahoma"/>
            <family val="2"/>
          </rPr>
          <t>Donny Rachman:</t>
        </r>
        <r>
          <rPr>
            <sz val="9"/>
            <color indexed="81"/>
            <rFont val="Tahoma"/>
            <family val="2"/>
          </rPr>
          <t xml:space="preserve">
Nama berubah menjadi Masuka Tyres (awalnya Ban Maju)</t>
        </r>
      </text>
    </comment>
    <comment ref="G229" authorId="1" shapeId="0">
      <text>
        <r>
          <rPr>
            <b/>
            <sz val="9"/>
            <color indexed="81"/>
            <rFont val="Tahoma"/>
            <family val="2"/>
          </rPr>
          <t>Balian Faj:</t>
        </r>
        <r>
          <rPr>
            <sz val="9"/>
            <color indexed="81"/>
            <rFont val="Tahoma"/>
            <family val="2"/>
          </rPr>
          <t xml:space="preserve">
alamat sebelumnya : Jl. Raya Margomulyo 31, Pergudangan Angtropolis A-10, Greges, Asemworo. Ganti alamat adas suatnya</t>
        </r>
      </text>
    </comment>
    <comment ref="G236" authorId="0" shapeId="0">
      <text>
        <r>
          <rPr>
            <b/>
            <sz val="9"/>
            <color indexed="81"/>
            <rFont val="Tahoma"/>
            <family val="2"/>
          </rPr>
          <t>Donny Rachman:</t>
        </r>
        <r>
          <rPr>
            <sz val="9"/>
            <color indexed="81"/>
            <rFont val="Tahoma"/>
            <family val="2"/>
          </rPr>
          <t xml:space="preserve">
Toko Lama (relokasi):
Jl. Merdeka No.117</t>
        </r>
      </text>
    </comment>
    <comment ref="F238" authorId="0" shapeId="0">
      <text>
        <r>
          <rPr>
            <b/>
            <sz val="9"/>
            <color indexed="81"/>
            <rFont val="Tahoma"/>
            <family val="2"/>
          </rPr>
          <t>Donny Rachman:</t>
        </r>
        <r>
          <rPr>
            <sz val="9"/>
            <color indexed="81"/>
            <rFont val="Tahoma"/>
            <family val="2"/>
          </rPr>
          <t xml:space="preserve">
Nama toko berubah (pas repainti) dari MITRA JAYA menjadi MTR BAN.
Nama di kontrak mitra taman raya</t>
        </r>
      </text>
    </comment>
    <comment ref="F239" authorId="2" shapeId="0">
      <text>
        <r>
          <rPr>
            <b/>
            <sz val="9"/>
            <color indexed="81"/>
            <rFont val="Tahoma"/>
            <family val="2"/>
          </rPr>
          <t>wulan:</t>
        </r>
        <r>
          <rPr>
            <sz val="9"/>
            <color indexed="81"/>
            <rFont val="Tahoma"/>
            <family val="2"/>
          </rPr>
          <t xml:space="preserve">
Citra Pratama Murni Ban</t>
        </r>
      </text>
    </comment>
    <comment ref="F249" authorId="5" shapeId="0">
      <text>
        <r>
          <rPr>
            <b/>
            <sz val="9"/>
            <color indexed="81"/>
            <rFont val="Tahoma"/>
            <family val="2"/>
          </rPr>
          <t>Endy Jeri S.:</t>
        </r>
        <r>
          <rPr>
            <sz val="9"/>
            <color indexed="81"/>
            <rFont val="Tahoma"/>
            <family val="2"/>
          </rPr>
          <t xml:space="preserve">
satu grup dengan Abadi Ban</t>
        </r>
      </text>
    </comment>
    <comment ref="F252" authorId="5" shapeId="0">
      <text>
        <r>
          <rPr>
            <b/>
            <sz val="9"/>
            <color indexed="81"/>
            <rFont val="Tahoma"/>
            <family val="2"/>
          </rPr>
          <t>Endy Jeri S.:</t>
        </r>
        <r>
          <rPr>
            <sz val="9"/>
            <color indexed="81"/>
            <rFont val="Tahoma"/>
            <family val="2"/>
          </rPr>
          <t xml:space="preserve">
ATP 2</t>
        </r>
      </text>
    </comment>
    <comment ref="F255" authorId="0" shapeId="0">
      <text>
        <r>
          <rPr>
            <b/>
            <sz val="9"/>
            <color indexed="81"/>
            <rFont val="Tahoma"/>
            <family val="2"/>
          </rPr>
          <t>Donny Rachman:</t>
        </r>
        <r>
          <rPr>
            <sz val="9"/>
            <color indexed="81"/>
            <rFont val="Tahoma"/>
            <family val="2"/>
          </rPr>
          <t xml:space="preserve">
UPGRADE DARI SIGNBOARD</t>
        </r>
      </text>
    </comment>
    <comment ref="F257" authorId="0" shapeId="0">
      <text>
        <r>
          <rPr>
            <b/>
            <sz val="9"/>
            <color indexed="81"/>
            <rFont val="Tahoma"/>
            <family val="2"/>
          </rPr>
          <t>Donny Rachman:</t>
        </r>
        <r>
          <rPr>
            <sz val="9"/>
            <color indexed="81"/>
            <rFont val="Tahoma"/>
            <family val="2"/>
          </rPr>
          <t xml:space="preserve">
UPGRADE DARI SIGNBOARD</t>
        </r>
      </text>
    </comment>
    <comment ref="F258" authorId="4" shapeId="0">
      <text>
        <r>
          <rPr>
            <b/>
            <sz val="9"/>
            <color indexed="81"/>
            <rFont val="Tahoma"/>
            <family val="2"/>
          </rPr>
          <t>Yuke Agustin:</t>
        </r>
        <r>
          <rPr>
            <sz val="9"/>
            <color indexed="81"/>
            <rFont val="Tahoma"/>
            <family val="2"/>
          </rPr>
          <t xml:space="preserve">
TAMPILAN INTERIOR TOKO TANPA CAT, DIKARENAKAN TOKO PINDAH KE SEBELAH SAJA.
PINDAH KARENA AREA TANAH YANG DITEMPATI SEBELUMNYA AGAK TURUN,KHAWATIR MEMBAHAYAKAN BANGUNAN.
TOKO PINDAH PAKAI BIAYA SENDIRI.
ALAMAT MASIH SAMA KARENA TOKO SEBELAHAN
YANG LAMA DIJADIKAN GUDANG
PINDAH TAHUN 2021 INFO DARI BILI YANG VISIT KESANA AWAL AGUSTUS 22
</t>
        </r>
      </text>
    </comment>
    <comment ref="F267" authorId="0" shapeId="0">
      <text>
        <r>
          <rPr>
            <b/>
            <sz val="9"/>
            <color indexed="81"/>
            <rFont val="Tahoma"/>
            <family val="2"/>
          </rPr>
          <t>Donny Rachman:</t>
        </r>
        <r>
          <rPr>
            <sz val="9"/>
            <color indexed="81"/>
            <rFont val="Tahoma"/>
            <family val="2"/>
          </rPr>
          <t xml:space="preserve">
UPGRADE DARI SIGNBOARD</t>
        </r>
      </text>
    </comment>
    <comment ref="F285" authorId="0" shapeId="0">
      <text>
        <r>
          <rPr>
            <b/>
            <sz val="9"/>
            <color indexed="81"/>
            <rFont val="Tahoma"/>
            <family val="2"/>
          </rPr>
          <t>Donny Rachman:</t>
        </r>
        <r>
          <rPr>
            <sz val="9"/>
            <color indexed="81"/>
            <rFont val="Tahoma"/>
            <family val="2"/>
          </rPr>
          <t xml:space="preserve">
UPGRADE DARI SIGNBOARD</t>
        </r>
      </text>
    </comment>
    <comment ref="F290" authorId="0" shapeId="0">
      <text>
        <r>
          <rPr>
            <b/>
            <sz val="9"/>
            <color indexed="81"/>
            <rFont val="Tahoma"/>
            <family val="2"/>
          </rPr>
          <t>Donny Rachman:</t>
        </r>
        <r>
          <rPr>
            <sz val="9"/>
            <color indexed="81"/>
            <rFont val="Tahoma"/>
            <family val="2"/>
          </rPr>
          <t xml:space="preserve">
Berubah nama (pas repaint) dari MAKMUR BAN menjadi GLOBAL BAN</t>
        </r>
      </text>
    </comment>
    <comment ref="G290" authorId="0" shapeId="0">
      <text>
        <r>
          <rPr>
            <b/>
            <sz val="9"/>
            <color indexed="81"/>
            <rFont val="Tahoma"/>
            <family val="2"/>
          </rPr>
          <t>Donny Rachman:</t>
        </r>
        <r>
          <rPr>
            <sz val="9"/>
            <color indexed="81"/>
            <rFont val="Tahoma"/>
            <family val="2"/>
          </rPr>
          <t xml:space="preserve">
Alamat Surat-menyurat/Bonus kirim ke SUMBER BAN (D&gt; Sign) Jl. Tuanku Tambusai No.6J (Samping Showroom Suzuki) Tlp. 0761-66385</t>
        </r>
      </text>
    </comment>
    <comment ref="F297" authorId="1" shapeId="0">
      <text>
        <r>
          <rPr>
            <b/>
            <sz val="9"/>
            <color indexed="81"/>
            <rFont val="Tahoma"/>
            <family val="2"/>
          </rPr>
          <t>Balian Faj:</t>
        </r>
        <r>
          <rPr>
            <sz val="9"/>
            <color indexed="81"/>
            <rFont val="Tahoma"/>
            <family val="2"/>
          </rPr>
          <t xml:space="preserve">
Upgrade Signboard shop</t>
        </r>
      </text>
    </comment>
    <comment ref="F300" authorId="5" shapeId="0">
      <text>
        <r>
          <rPr>
            <b/>
            <sz val="9"/>
            <color indexed="81"/>
            <rFont val="Tahoma"/>
            <family val="2"/>
          </rPr>
          <t>Endy Jeri S.:</t>
        </r>
        <r>
          <rPr>
            <sz val="9"/>
            <color indexed="81"/>
            <rFont val="Tahoma"/>
            <family val="2"/>
          </rPr>
          <t xml:space="preserve">
Aneka Ban Jerry</t>
        </r>
      </text>
    </comment>
    <comment ref="F301" authorId="5" shapeId="0">
      <text>
        <r>
          <rPr>
            <b/>
            <sz val="9"/>
            <color indexed="81"/>
            <rFont val="Tahoma"/>
            <family val="2"/>
          </rPr>
          <t>Endy Jeri S.:</t>
        </r>
        <r>
          <rPr>
            <sz val="9"/>
            <color indexed="81"/>
            <rFont val="Tahoma"/>
            <family val="2"/>
          </rPr>
          <t xml:space="preserve">
Aneka Ban Hendrik</t>
        </r>
      </text>
    </comment>
    <comment ref="G301" authorId="4" shapeId="0">
      <text>
        <r>
          <rPr>
            <b/>
            <sz val="9"/>
            <color indexed="81"/>
            <rFont val="Tahoma"/>
            <family val="2"/>
          </rPr>
          <t>Yuke Agustin:</t>
        </r>
        <r>
          <rPr>
            <sz val="9"/>
            <color indexed="81"/>
            <rFont val="Tahoma"/>
            <family val="2"/>
          </rPr>
          <t xml:space="preserve">
pakai alamat baru per 22/07/24</t>
        </r>
      </text>
    </comment>
    <comment ref="F303" authorId="1" shapeId="0">
      <text>
        <r>
          <rPr>
            <b/>
            <sz val="9"/>
            <color indexed="81"/>
            <rFont val="Tahoma"/>
            <family val="2"/>
          </rPr>
          <t>Balian Faj:</t>
        </r>
        <r>
          <rPr>
            <sz val="9"/>
            <color indexed="81"/>
            <rFont val="Tahoma"/>
            <family val="2"/>
          </rPr>
          <t xml:space="preserve">
ganti nama sebelumnya PT. Catur Putra Harmonis (surat tgl 26/09/24)</t>
        </r>
      </text>
    </comment>
    <comment ref="F304" authorId="1" shapeId="0">
      <text>
        <r>
          <rPr>
            <b/>
            <sz val="9"/>
            <color indexed="81"/>
            <rFont val="Tahoma"/>
            <family val="2"/>
          </rPr>
          <t>Balian Faj:</t>
        </r>
        <r>
          <rPr>
            <sz val="9"/>
            <color indexed="81"/>
            <rFont val="Tahoma"/>
            <family val="2"/>
          </rPr>
          <t xml:space="preserve">
Ganti nama sebelumnya MAHAPUTRA (surat tgl 26/09/24)</t>
        </r>
      </text>
    </comment>
    <comment ref="L310" authorId="4" shapeId="0">
      <text>
        <r>
          <rPr>
            <b/>
            <sz val="9"/>
            <color indexed="81"/>
            <rFont val="Tahoma"/>
            <family val="2"/>
          </rPr>
          <t>Yuke Agustin:</t>
        </r>
        <r>
          <rPr>
            <sz val="9"/>
            <color indexed="81"/>
            <rFont val="Tahoma"/>
            <family val="2"/>
          </rPr>
          <t xml:space="preserve">
SEBELUMNYA: 08118945641</t>
        </r>
      </text>
    </comment>
    <comment ref="G320" authorId="2" shapeId="0">
      <text>
        <r>
          <rPr>
            <b/>
            <sz val="9"/>
            <color indexed="81"/>
            <rFont val="Tahoma"/>
            <family val="2"/>
          </rPr>
          <t>wulan:</t>
        </r>
        <r>
          <rPr>
            <sz val="9"/>
            <color indexed="81"/>
            <rFont val="Tahoma"/>
            <family val="2"/>
          </rPr>
          <t xml:space="preserve">
Alamat sebelumnya
Kp. Air Batu, Kel. Ampang Tulak Tapan, Kec. Basa IV Balai Tapan
Revisi alamat karena kurang lengkap (info kurir)</t>
        </r>
      </text>
    </comment>
    <comment ref="F323" authorId="4" shapeId="0">
      <text>
        <r>
          <rPr>
            <b/>
            <sz val="9"/>
            <color indexed="81"/>
            <rFont val="Tahoma"/>
            <family val="2"/>
          </rPr>
          <t>Yuke Agustin
BARANG PROMOSI JANGAN KIRIM KESINI, MINTA DIKIRIM KE NEW LS MOTOR, INFO DARI TOKO 19/07/22 MELALUI KANG ROMY</t>
        </r>
      </text>
    </comment>
    <comment ref="F324" authorId="5" shapeId="0">
      <text>
        <r>
          <rPr>
            <b/>
            <sz val="9"/>
            <color indexed="81"/>
            <rFont val="Tahoma"/>
            <family val="2"/>
          </rPr>
          <t>Endy Jeri S.:</t>
        </r>
        <r>
          <rPr>
            <sz val="9"/>
            <color indexed="81"/>
            <rFont val="Tahoma"/>
            <family val="2"/>
          </rPr>
          <t xml:space="preserve">
Angkasa Ban</t>
        </r>
      </text>
    </comment>
    <comment ref="F334" authorId="4" shapeId="0">
      <text>
        <r>
          <rPr>
            <b/>
            <sz val="9"/>
            <color indexed="81"/>
            <rFont val="Tahoma"/>
            <family val="2"/>
          </rPr>
          <t>Yuke Agustin:</t>
        </r>
        <r>
          <rPr>
            <sz val="9"/>
            <color indexed="81"/>
            <rFont val="Tahoma"/>
            <family val="2"/>
          </rPr>
          <t xml:space="preserve">
05/08/24
Info Mas Muklis toko ganti nama dari Saudara Baru menjadi Saudara Ban</t>
        </r>
      </text>
    </comment>
    <comment ref="L334" authorId="4" shapeId="0">
      <text>
        <r>
          <rPr>
            <b/>
            <sz val="9"/>
            <color indexed="81"/>
            <rFont val="Tahoma"/>
            <family val="2"/>
          </rPr>
          <t>Yuke Agustin:</t>
        </r>
        <r>
          <rPr>
            <sz val="9"/>
            <color indexed="81"/>
            <rFont val="Tahoma"/>
            <family val="2"/>
          </rPr>
          <t xml:space="preserve">
'No telp pemilik sebelumya (Husein Chandra)
0751 - 83191 / 081268580987</t>
        </r>
      </text>
    </comment>
    <comment ref="F339" authorId="0" shapeId="0">
      <text>
        <r>
          <rPr>
            <b/>
            <sz val="9"/>
            <color indexed="81"/>
            <rFont val="Tahoma"/>
            <family val="2"/>
          </rPr>
          <t>Donny Rachman:</t>
        </r>
        <r>
          <rPr>
            <sz val="9"/>
            <color indexed="81"/>
            <rFont val="Tahoma"/>
            <family val="2"/>
          </rPr>
          <t xml:space="preserve">
UPGRADE DARI SIGNBOARD</t>
        </r>
      </text>
    </comment>
    <comment ref="F348" authorId="0" shapeId="0">
      <text>
        <r>
          <rPr>
            <b/>
            <sz val="9"/>
            <color indexed="81"/>
            <rFont val="Tahoma"/>
            <family val="2"/>
          </rPr>
          <t>Donny Rachman:</t>
        </r>
        <r>
          <rPr>
            <sz val="9"/>
            <color indexed="81"/>
            <rFont val="Tahoma"/>
            <family val="2"/>
          </rPr>
          <t xml:space="preserve">
CELENTANG BAN = NEO PM (Ubah nama saat instalasi)</t>
        </r>
      </text>
    </comment>
    <comment ref="F358" authorId="5" shapeId="0">
      <text>
        <r>
          <rPr>
            <b/>
            <sz val="9"/>
            <color indexed="81"/>
            <rFont val="Tahoma"/>
            <family val="2"/>
          </rPr>
          <t>Endy Jeri S.:</t>
        </r>
        <r>
          <rPr>
            <sz val="9"/>
            <color indexed="81"/>
            <rFont val="Tahoma"/>
            <family val="2"/>
          </rPr>
          <t xml:space="preserve">
Sebelumnya PANGERAN AUTO EQUIPMENT</t>
        </r>
      </text>
    </comment>
    <comment ref="F368" authorId="2" shapeId="0">
      <text>
        <r>
          <rPr>
            <b/>
            <sz val="9"/>
            <color indexed="81"/>
            <rFont val="Tahoma"/>
            <family val="2"/>
          </rPr>
          <t>wulan:</t>
        </r>
        <r>
          <rPr>
            <sz val="9"/>
            <color indexed="81"/>
            <rFont val="Tahoma"/>
            <family val="2"/>
          </rPr>
          <t xml:space="preserve">
Toko Baru
</t>
        </r>
      </text>
    </comment>
    <comment ref="F369" authorId="0" shapeId="0">
      <text>
        <r>
          <rPr>
            <b/>
            <sz val="9"/>
            <color indexed="81"/>
            <rFont val="Tahoma"/>
            <family val="2"/>
          </rPr>
          <t>Donny Rachman:</t>
        </r>
        <r>
          <rPr>
            <sz val="9"/>
            <color indexed="81"/>
            <rFont val="Tahoma"/>
            <family val="2"/>
          </rPr>
          <t xml:space="preserve">
Upgrade dari Sign Board</t>
        </r>
      </text>
    </comment>
    <comment ref="F377" authorId="0" shapeId="0">
      <text>
        <r>
          <rPr>
            <b/>
            <sz val="9"/>
            <color indexed="81"/>
            <rFont val="Tahoma"/>
            <family val="2"/>
          </rPr>
          <t>Donny Rachman:</t>
        </r>
        <r>
          <rPr>
            <sz val="9"/>
            <color indexed="81"/>
            <rFont val="Tahoma"/>
            <family val="2"/>
          </rPr>
          <t xml:space="preserve">
Ganti nama dari FORTUNA AUTO SERVICE</t>
        </r>
      </text>
    </comment>
    <comment ref="F378" authorId="0" shapeId="0">
      <text>
        <r>
          <rPr>
            <b/>
            <sz val="9"/>
            <color indexed="81"/>
            <rFont val="Tahoma"/>
            <family val="2"/>
          </rPr>
          <t>Donny Rachman:</t>
        </r>
        <r>
          <rPr>
            <sz val="9"/>
            <color indexed="81"/>
            <rFont val="Tahoma"/>
            <family val="2"/>
          </rPr>
          <t xml:space="preserve">
Ganti nama dari FORTUNA AUTO SERVICE</t>
        </r>
      </text>
    </comment>
    <comment ref="F381" authorId="1" shapeId="0">
      <text>
        <r>
          <rPr>
            <b/>
            <sz val="9"/>
            <color indexed="81"/>
            <rFont val="Tahoma"/>
            <family val="2"/>
          </rPr>
          <t>Balian Faj:</t>
        </r>
        <r>
          <rPr>
            <sz val="9"/>
            <color indexed="81"/>
            <rFont val="Tahoma"/>
            <family val="2"/>
          </rPr>
          <t xml:space="preserve">
Ganti nama sebelumnya MAHAPUTRA (surat tgl 26/09/24)</t>
        </r>
      </text>
    </comment>
  </commentList>
</comments>
</file>

<file path=xl/comments2.xml><?xml version="1.0" encoding="utf-8"?>
<comments xmlns="http://schemas.openxmlformats.org/spreadsheetml/2006/main">
  <authors>
    <author>Donny Rachman</author>
  </authors>
  <commentList>
    <comment ref="AB11" authorId="0" shapeId="0">
      <text>
        <r>
          <rPr>
            <b/>
            <sz val="9"/>
            <color indexed="81"/>
            <rFont val="Tahoma"/>
            <family val="2"/>
          </rPr>
          <t>Donny Rachman:</t>
        </r>
        <r>
          <rPr>
            <sz val="9"/>
            <color indexed="81"/>
            <rFont val="Tahoma"/>
            <family val="2"/>
          </rPr>
          <t xml:space="preserve">
Sign board Falken Tanpa Nama Toko</t>
        </r>
      </text>
    </comment>
    <comment ref="AB13" authorId="0" shapeId="0">
      <text>
        <r>
          <rPr>
            <b/>
            <sz val="9"/>
            <color indexed="81"/>
            <rFont val="Tahoma"/>
            <family val="2"/>
          </rPr>
          <t>Donny Rachman:</t>
        </r>
        <r>
          <rPr>
            <sz val="9"/>
            <color indexed="81"/>
            <rFont val="Tahoma"/>
            <family val="2"/>
          </rPr>
          <t xml:space="preserve">
Sign board Falken Tanpa Nama Toko</t>
        </r>
      </text>
    </comment>
    <comment ref="AB21" authorId="0" shapeId="0">
      <text>
        <r>
          <rPr>
            <b/>
            <sz val="9"/>
            <color indexed="81"/>
            <rFont val="Tahoma"/>
            <family val="2"/>
          </rPr>
          <t>Donny Rachman:</t>
        </r>
        <r>
          <rPr>
            <sz val="9"/>
            <color indexed="81"/>
            <rFont val="Tahoma"/>
            <family val="2"/>
          </rPr>
          <t xml:space="preserve">
Sign board Falken Tanpa Nama Toko</t>
        </r>
      </text>
    </comment>
  </commentList>
</comments>
</file>

<file path=xl/sharedStrings.xml><?xml version="1.0" encoding="utf-8"?>
<sst xmlns="http://schemas.openxmlformats.org/spreadsheetml/2006/main" count="6051" uniqueCount="3293">
  <si>
    <t>DATABASE DUNLOP SHOP</t>
  </si>
  <si>
    <t>NO</t>
  </si>
  <si>
    <t>Stts</t>
  </si>
  <si>
    <t>ID Mkt</t>
  </si>
  <si>
    <t>NAMA TOKO</t>
  </si>
  <si>
    <t>ALAMAT</t>
  </si>
  <si>
    <t>KOTA/KAB</t>
  </si>
  <si>
    <t>REGIONAL</t>
  </si>
  <si>
    <t>PROV.</t>
  </si>
  <si>
    <t>AREA PEMASARAN2</t>
  </si>
  <si>
    <t>NAMA OWNER/ PENGELOLA TOKO</t>
  </si>
  <si>
    <t>NO. TLP/FAX TOKO</t>
  </si>
  <si>
    <t>E-mail</t>
  </si>
  <si>
    <t>DS</t>
  </si>
  <si>
    <t>DS/ACEH-01</t>
  </si>
  <si>
    <t>SK.Aceh1</t>
  </si>
  <si>
    <t>ARENA BAN/ARENA JAYA MOTOR</t>
  </si>
  <si>
    <t>Jl. T. Hasan Dek No.19, Beurawe, Kuta Alam</t>
  </si>
  <si>
    <t>Banda Aceh</t>
  </si>
  <si>
    <t>SUMATERA</t>
  </si>
  <si>
    <t>Aceh</t>
  </si>
  <si>
    <t>651 - 3173 / 31727</t>
  </si>
  <si>
    <t>arenaban.bandaaceh2014@gmail.com</t>
  </si>
  <si>
    <t>DS/ACEH-02</t>
  </si>
  <si>
    <t>SK.Aceh2</t>
  </si>
  <si>
    <t>CAHAYA RJR BAN</t>
  </si>
  <si>
    <t>Jl. Prof. A. Majid Ibrahim - Simpang Lingkar Terminal Sigli</t>
  </si>
  <si>
    <t>Pidie</t>
  </si>
  <si>
    <t>0813 7738 5567/081370686567 (WA)</t>
  </si>
  <si>
    <t>abubakar123aja@gmail.com</t>
  </si>
  <si>
    <t>DS/ACEH-03</t>
  </si>
  <si>
    <t>SK.Aceh3</t>
  </si>
  <si>
    <t>CITRA MOBIL</t>
  </si>
  <si>
    <t>Jl. Manek Roo No.180, Ujong Baroh, Johan Pahlawan</t>
  </si>
  <si>
    <t>Meulaboh</t>
  </si>
  <si>
    <t>0813 6068 1273</t>
  </si>
  <si>
    <t>DS/ACEH-04</t>
  </si>
  <si>
    <t>SK.Aceh5</t>
  </si>
  <si>
    <t>MANDIRI BAN</t>
  </si>
  <si>
    <t>Jl. DR. Moh. Hasan No.23-25, Lampeuneurut Gampong, Darul Imarah</t>
  </si>
  <si>
    <t>0812 6982 153</t>
  </si>
  <si>
    <t>iskandar.id82@gmail.com</t>
  </si>
  <si>
    <t>DS/ACEH-05</t>
  </si>
  <si>
    <t>SK.Aceh4</t>
  </si>
  <si>
    <t>Jl. Sultan Malikussaleh No.8, Cureh, Bireuen</t>
  </si>
  <si>
    <t>Bireuen</t>
  </si>
  <si>
    <t>0813 6007 3252</t>
  </si>
  <si>
    <t>boydawi868@gmail.com</t>
  </si>
  <si>
    <t>DS/ACEH-06</t>
  </si>
  <si>
    <t>SK.Aceh6</t>
  </si>
  <si>
    <t>PT. SUTAN KASIM</t>
  </si>
  <si>
    <t>Jl. Soekarno-Hatta, Ds. Meunasah Manyet-Lambaro, Aceh Besar</t>
  </si>
  <si>
    <t>0651 - 8054015</t>
  </si>
  <si>
    <t>sk_aceh@yahoo.co.id</t>
  </si>
  <si>
    <t>DS/BABEL-01</t>
  </si>
  <si>
    <t>Babel1</t>
  </si>
  <si>
    <t>LAVINMAR BAN</t>
  </si>
  <si>
    <t>Jl. Mayor Syafri Rachman No.29 RT 006/RW 003 Kel. Pasar Padi, Kec. Rangkui</t>
  </si>
  <si>
    <t>Pangkal Pinang</t>
  </si>
  <si>
    <t>Kep. Bangka Belitung</t>
  </si>
  <si>
    <t>Bangka Belitung</t>
  </si>
  <si>
    <t>0717 - 423848</t>
  </si>
  <si>
    <t>chenlianhua93@gmail.com</t>
  </si>
  <si>
    <t>DS/BABEL-02</t>
  </si>
  <si>
    <t>Babel2</t>
  </si>
  <si>
    <t>SUMBER JADI</t>
  </si>
  <si>
    <t>Jl. Basuki Rahmat RT 06 RW 03, Sriwijaya, Girimaya</t>
  </si>
  <si>
    <t xml:space="preserve">0717 - 438544 </t>
  </si>
  <si>
    <t>sumberjadi@gmail.com</t>
  </si>
  <si>
    <t>DS/BABEL-03</t>
  </si>
  <si>
    <t>Babel3</t>
  </si>
  <si>
    <t>CEMPAKA BAN</t>
  </si>
  <si>
    <t>Jl. Soekarno Hatta Ruko Blok A No.3, Pangkalan Baru</t>
  </si>
  <si>
    <t>0717-436913/0812-7127592</t>
  </si>
  <si>
    <t>cempakabanbangka@gmail.com</t>
  </si>
  <si>
    <t>DS/BABEL-04</t>
  </si>
  <si>
    <t>Babel5</t>
  </si>
  <si>
    <t>MARTIN MOTOR</t>
  </si>
  <si>
    <t>Jl. Solihin GP No.168 Gajah Mada, Asam, Rangkui</t>
  </si>
  <si>
    <t>08117170755</t>
  </si>
  <si>
    <t>DS/BABEL-05</t>
  </si>
  <si>
    <t>Babel6</t>
  </si>
  <si>
    <t>BERKAT BAN</t>
  </si>
  <si>
    <t>Jl. Jend. Sudirman, Kel. Parit Padang, Kec. Sungai Liat, Kab. Bangka, Kep. Bangka Belitung</t>
  </si>
  <si>
    <t>Kab. Bangka</t>
  </si>
  <si>
    <t>DS/BALI-01</t>
  </si>
  <si>
    <t>Bali1</t>
  </si>
  <si>
    <t>ADI PUTRA</t>
  </si>
  <si>
    <t>Jl. Raya Batubulan, Batubulan, Sukawati</t>
  </si>
  <si>
    <t>Gianyar</t>
  </si>
  <si>
    <t>BALI &amp; IND. TIMUR</t>
  </si>
  <si>
    <t>Bali</t>
  </si>
  <si>
    <t>0361 - 299454</t>
  </si>
  <si>
    <t>DS/BALI-02</t>
  </si>
  <si>
    <t>Bali2</t>
  </si>
  <si>
    <t>UD BALI RAYA</t>
  </si>
  <si>
    <t>Jl. P. Menjagan 42 Dauh Pala, Kel. Dauh Peken</t>
  </si>
  <si>
    <t>Tabanan</t>
  </si>
  <si>
    <t>0361 - 812592</t>
  </si>
  <si>
    <t>DS/BALI-03</t>
  </si>
  <si>
    <t>Bali3</t>
  </si>
  <si>
    <t>UD. BARU MOTOR</t>
  </si>
  <si>
    <t>Jl. Raya Banjarangkan Semarapura, Dsn. Koripan Tengah, Ds. Banjarangkan</t>
  </si>
  <si>
    <t>Klungkung</t>
  </si>
  <si>
    <t>0366 - 23927 / 081558140556</t>
  </si>
  <si>
    <t>DS/BALI-04</t>
  </si>
  <si>
    <t>Bali4</t>
  </si>
  <si>
    <t>CEMERLANG VARIASI</t>
  </si>
  <si>
    <t>Jl. WR. Supratman No.32 DE, Dusun Pande, Kec. Denpasar Timur</t>
  </si>
  <si>
    <t>Denpasar</t>
  </si>
  <si>
    <t>0361 - 231204 / 229797</t>
  </si>
  <si>
    <t>DS/BALI-05</t>
  </si>
  <si>
    <t>Bali5</t>
  </si>
  <si>
    <t>DEWATA BAN</t>
  </si>
  <si>
    <t>Jl. Jurusan Tampak Siring, Bedulu</t>
  </si>
  <si>
    <t>0361 - 941667</t>
  </si>
  <si>
    <t>dewaketutgede3@gmail.com</t>
  </si>
  <si>
    <t>DS/BALI-06</t>
  </si>
  <si>
    <t>Bali6</t>
  </si>
  <si>
    <t>DINDA PUTRA</t>
  </si>
  <si>
    <t>Jl. Gatot Subroto No.322, Ds. Dukuh, Kel. Kesiman Petilan, Kec. Denpasar Timur</t>
  </si>
  <si>
    <t>0361 - 462955 / 7452695</t>
  </si>
  <si>
    <t>DS/BALI-07</t>
  </si>
  <si>
    <t>Bali10</t>
  </si>
  <si>
    <t>KAWI YASA MOTOR</t>
  </si>
  <si>
    <t>Jl. By Pass Ngurah Rai - Nusa Dua No.122 (Depan Bank Sinarmas), Kuta Selatan</t>
  </si>
  <si>
    <t>0361 - 770139 / 770135 / 0812 396 1106</t>
  </si>
  <si>
    <t>DS/BALI-09</t>
  </si>
  <si>
    <t>Bali13</t>
  </si>
  <si>
    <t>OSCAR VARIASI</t>
  </si>
  <si>
    <t>Jl. Imam Bonjol No.264 X, Pemecutan Klod, Denpasar Barat</t>
  </si>
  <si>
    <t>0361 - 484417 / 487595</t>
  </si>
  <si>
    <t>DS/BALI-10</t>
  </si>
  <si>
    <t>Bali15</t>
  </si>
  <si>
    <t>Jl. By Pass Ngurah Rai, No.155X, Sanur, Denpasar Selatan</t>
  </si>
  <si>
    <t>0361 - 289629</t>
  </si>
  <si>
    <t>julio.suzukibali@gmail.com</t>
  </si>
  <si>
    <t>DS/BALI-11</t>
  </si>
  <si>
    <t>Bali17</t>
  </si>
  <si>
    <t>OTO 7 CRIYA</t>
  </si>
  <si>
    <t>Jl. Gatot Subroto Barat No.277, Pemecutan Kaja, Denpasar Utara</t>
  </si>
  <si>
    <t>0361 - 7421017 / 085100421017</t>
  </si>
  <si>
    <t>DS/BALI-12</t>
  </si>
  <si>
    <t>Bali19</t>
  </si>
  <si>
    <t>PARAMITA BAN</t>
  </si>
  <si>
    <t>Jl. Cokroaminoto No.47A Br. Marga Jati, Denpasar Utara</t>
  </si>
  <si>
    <t>0361-9074785 /0821 4400 3311</t>
  </si>
  <si>
    <t>paramitaban.denpasar@yahoo.co.id</t>
  </si>
  <si>
    <t>DS/BALI-13</t>
  </si>
  <si>
    <t>Bali21</t>
  </si>
  <si>
    <t>TRIBERT</t>
  </si>
  <si>
    <t>Jl. A. Yani No.192, Baktisegara, Buleleng</t>
  </si>
  <si>
    <t>Singaraja</t>
  </si>
  <si>
    <t>0362 - 29898 / 28289</t>
  </si>
  <si>
    <t>DS/BALI-14</t>
  </si>
  <si>
    <t>Bali20</t>
  </si>
  <si>
    <t>TIMBUL VARIASI</t>
  </si>
  <si>
    <t>Jl. Supratman 361, Kesiman Kertalangu, Kec. Denpasar Timur</t>
  </si>
  <si>
    <t>0361 - 462335 / 461184 / 292364</t>
  </si>
  <si>
    <t>puspaindra_ib@yahoo.com</t>
  </si>
  <si>
    <t>DS/BALI-15</t>
  </si>
  <si>
    <t>Bali9</t>
  </si>
  <si>
    <t>UD. INDO RAYA</t>
  </si>
  <si>
    <t>Jl. Iman Bonjol No.141, Pemecutan Klod, Denpasar Barat</t>
  </si>
  <si>
    <t>0361 - 483448</t>
  </si>
  <si>
    <t>DS/BALI-17</t>
  </si>
  <si>
    <t>Bali5.A</t>
  </si>
  <si>
    <t>Jl. Raya Bukit Jali, Bedulu, Blahbatu</t>
  </si>
  <si>
    <t>082146428575</t>
  </si>
  <si>
    <t>DS/NUSRA-01</t>
  </si>
  <si>
    <t>Bali8</t>
  </si>
  <si>
    <t>AUTO TYRE</t>
  </si>
  <si>
    <t>Jl. Selaparang No.38D, Mayura, Kec. Mataram, Kota Mataram, Nusa Tenggara Bar. 83239</t>
  </si>
  <si>
    <t>Mataram</t>
  </si>
  <si>
    <t>Nusa Tenggara Barat</t>
  </si>
  <si>
    <t>NTB</t>
  </si>
  <si>
    <t>0813 - 3942 1717</t>
  </si>
  <si>
    <t>ekosangjaya@gmail.com</t>
  </si>
  <si>
    <t>DS/NUSRA-02</t>
  </si>
  <si>
    <t>Bali7</t>
  </si>
  <si>
    <t>DUTA BAN</t>
  </si>
  <si>
    <t>Jl. Gajah Mada - BTN Pepabri, Pane, Rasanae Barat</t>
  </si>
  <si>
    <t>Bima</t>
  </si>
  <si>
    <t>0374 - 42539</t>
  </si>
  <si>
    <t>anandbahanan71@gmail.com</t>
  </si>
  <si>
    <t>DS/NUSRA-03</t>
  </si>
  <si>
    <t>Bali11</t>
  </si>
  <si>
    <t>UD. MADJU</t>
  </si>
  <si>
    <t>Jl. Tgh. Faisal No.8, Mandalika, Sandubaya</t>
  </si>
  <si>
    <t>0370 - 673637, 671250</t>
  </si>
  <si>
    <t>DS/NUSRA-04</t>
  </si>
  <si>
    <t>Bali18</t>
  </si>
  <si>
    <t>OTO STYLE</t>
  </si>
  <si>
    <t>Jl. Bundaran PU TDM3 No.88, RT.52 RW06</t>
  </si>
  <si>
    <t>Kupang</t>
  </si>
  <si>
    <t>Nusa Tenggara Timur</t>
  </si>
  <si>
    <t>NTT</t>
  </si>
  <si>
    <t>0851 0012 3321</t>
  </si>
  <si>
    <t>ssumargo@gmail.com</t>
  </si>
  <si>
    <t>DS/NUSRA-05</t>
  </si>
  <si>
    <t>NTT1</t>
  </si>
  <si>
    <t>OTOSHOP</t>
  </si>
  <si>
    <t>Jl. Bhayangkara No.56, Komerda, Waikabubak</t>
  </si>
  <si>
    <t>Sumba Barat</t>
  </si>
  <si>
    <t>(0387) 21138</t>
  </si>
  <si>
    <t>DS/NUSRA-06</t>
  </si>
  <si>
    <t>TIMPER VARIASI</t>
  </si>
  <si>
    <t>Jl. Soekarno - Hatta No.124, Atambua, Kec. Kota Atambua, Kabupaten Belu, Nusa Tenggara Tim.</t>
  </si>
  <si>
    <t>Atambua</t>
  </si>
  <si>
    <t>DS/NUSRA-07</t>
  </si>
  <si>
    <t>GRAND TIMOR</t>
  </si>
  <si>
    <t>Jl. Sunan Ampel Gunung Jati No.20, Solor, Kec. Kota Lama, Kota Kupang, Nusa Tenggara Tim. 85229</t>
  </si>
  <si>
    <t>DS/PAPUA-01</t>
  </si>
  <si>
    <t>NTT2</t>
  </si>
  <si>
    <t>ARTHA BAN</t>
  </si>
  <si>
    <t>Jl. Patriot Nabire, Girimulyo, Kec. Nabire</t>
  </si>
  <si>
    <t>Nabire</t>
  </si>
  <si>
    <t>Papua</t>
  </si>
  <si>
    <t>Ind. Timur</t>
  </si>
  <si>
    <t>0852-44000272</t>
  </si>
  <si>
    <t>DS/PAPUA-02</t>
  </si>
  <si>
    <t>Sorong1</t>
  </si>
  <si>
    <t>GADING SUMMA BAN</t>
  </si>
  <si>
    <t>Jl. Basuki Rahmat (Lampu Merah Km.8), Malaingkedi, Sorong Utara, Sorong, Papua Barat</t>
  </si>
  <si>
    <t>Sorong</t>
  </si>
  <si>
    <t>Papua Barat</t>
  </si>
  <si>
    <t>DS/AMBON-01</t>
  </si>
  <si>
    <t>MASTER BAN</t>
  </si>
  <si>
    <t>Jl. Samratulangi No.112, Kel. Honipopu, Kec. Sirimau, Kota Ambon, Provinsi Maluku</t>
  </si>
  <si>
    <t>Ambon</t>
  </si>
  <si>
    <t>Maluku</t>
  </si>
  <si>
    <t>DS/BATAM-01</t>
  </si>
  <si>
    <t>SK.Batam1</t>
  </si>
  <si>
    <t>AUTO BAN</t>
  </si>
  <si>
    <t>Jl. Duyung Baloi Danau C1 No.4, Lubuk Baja</t>
  </si>
  <si>
    <t>Batam</t>
  </si>
  <si>
    <t>Kep. Riau</t>
  </si>
  <si>
    <t>0778 - 456223 / 7213062</t>
  </si>
  <si>
    <t>autoban_batam@yahoo.co.id</t>
  </si>
  <si>
    <t>DS/BATAM-02</t>
  </si>
  <si>
    <t>SK.Batam2</t>
  </si>
  <si>
    <t>BATAM TUNGGAL MANDIRI</t>
  </si>
  <si>
    <t>Tanah Mas Blok K No.5, Sungai Panas, Batam Kota</t>
  </si>
  <si>
    <t>0778 - 455622 / 431391</t>
  </si>
  <si>
    <t>DS/BATAM-04</t>
  </si>
  <si>
    <t>SK.Batam4</t>
  </si>
  <si>
    <t>BUDI MANDIRI 2</t>
  </si>
  <si>
    <t>Ruko Marbela 2 Blok D No.1-2, Jl. Tengku Sulung, Belian, Batam Kota</t>
  </si>
  <si>
    <t>0778 - 459606</t>
  </si>
  <si>
    <t>budimandiri123@gmail.com</t>
  </si>
  <si>
    <t>DS/BATAM-05</t>
  </si>
  <si>
    <t>SK.Batam5</t>
  </si>
  <si>
    <t>SUTAN KASIM BATAM</t>
  </si>
  <si>
    <t>Kompleks Rafles City Blok E1 No.2-2A Batam Centre</t>
  </si>
  <si>
    <t>0778 - 7483256</t>
  </si>
  <si>
    <t>sutankasim_batam@yahoo.com</t>
  </si>
  <si>
    <t>DS/BENGKULU-01</t>
  </si>
  <si>
    <t>SK.Bkl1</t>
  </si>
  <si>
    <t>BINTANG MOTOR</t>
  </si>
  <si>
    <t>Jl. Jendral Sudirman No.188, Ps. Mulia, Ps. Manna</t>
  </si>
  <si>
    <t>Bengkulu Selatan</t>
  </si>
  <si>
    <t>Bengkulu</t>
  </si>
  <si>
    <t>0739 - 22631</t>
  </si>
  <si>
    <t>DS/BENGKULU-02</t>
  </si>
  <si>
    <t>SK.Bkl2</t>
  </si>
  <si>
    <t>INDO SUPER</t>
  </si>
  <si>
    <t>Jl. Semangka Raya No.9A Lingkar Timur, Simpang Empat Panorama</t>
  </si>
  <si>
    <t>0736 - 343280</t>
  </si>
  <si>
    <t>indosuperjaya@gmail.com</t>
  </si>
  <si>
    <t>DS/BENGKULU-03</t>
  </si>
  <si>
    <t>SK.Bkl3</t>
  </si>
  <si>
    <t>KARYA REMAJA</t>
  </si>
  <si>
    <t>Jl. P. Natadirja No.41, Jalan Gedang, Gading Cempaka</t>
  </si>
  <si>
    <t>0736 - 341816</t>
  </si>
  <si>
    <t>imrifolchaniago@gmail.com</t>
  </si>
  <si>
    <t>DS/BENGKULU-04</t>
  </si>
  <si>
    <t>SK.Bkl5</t>
  </si>
  <si>
    <t>Jl. M. Sutoyo No.10, Tanah Patah, Ratu Agung</t>
  </si>
  <si>
    <t>0736 - 345979</t>
  </si>
  <si>
    <t>sukabengkulu@gmail.com</t>
  </si>
  <si>
    <t>DS/BENGKULU-05</t>
  </si>
  <si>
    <t>SK.Bkl4</t>
  </si>
  <si>
    <t>SINAR OLI</t>
  </si>
  <si>
    <t>Jl. Sersan M. Taha No.34, Ketapang Besar, Pasar Manna</t>
  </si>
  <si>
    <t>0823-77840007</t>
  </si>
  <si>
    <t>DS/JABAR-01</t>
  </si>
  <si>
    <t>Jabar1</t>
  </si>
  <si>
    <t>AGOES BAN</t>
  </si>
  <si>
    <t>Jl. Raya Nagrek-Garut Km.36 No.682, Citaman, Nagreg</t>
  </si>
  <si>
    <t>Bandung</t>
  </si>
  <si>
    <t>JAWA BARAT</t>
  </si>
  <si>
    <t>Jawa Barat</t>
  </si>
  <si>
    <t>022 - 7950426</t>
  </si>
  <si>
    <t>agoesban@hotmail.com</t>
  </si>
  <si>
    <t>DS/JABAR-02</t>
  </si>
  <si>
    <t>Jabar2</t>
  </si>
  <si>
    <t>AGUS LIO BAN KALIJATI</t>
  </si>
  <si>
    <t>Jl. Kalijati Timur Kp. Binawarga RT 13/04, Desa Kalijati Timur, Kalijati</t>
  </si>
  <si>
    <t>Subang</t>
  </si>
  <si>
    <t>0260 - 461394</t>
  </si>
  <si>
    <t>diatihamid@gmail.com</t>
  </si>
  <si>
    <t>DS/JABAR-03</t>
  </si>
  <si>
    <t>Jabar3</t>
  </si>
  <si>
    <t>AGUS LIO BAN PAGADEN</t>
  </si>
  <si>
    <t>Jl. Raya Kamarung No.21, Kamarung, Cipunagara</t>
  </si>
  <si>
    <t>DS/JABAR-04</t>
  </si>
  <si>
    <t>Jabar4</t>
  </si>
  <si>
    <t xml:space="preserve">ANEKA BAN </t>
  </si>
  <si>
    <t>Jl. Veteran No.245, Ciseureuh</t>
  </si>
  <si>
    <t>Purwakarta</t>
  </si>
  <si>
    <t>0264 - 8226751</t>
  </si>
  <si>
    <t>agusjakmot@gmail.com</t>
  </si>
  <si>
    <t>DS/JABAR-05</t>
  </si>
  <si>
    <t>Jabar5</t>
  </si>
  <si>
    <t>ANUGRAH BAN</t>
  </si>
  <si>
    <t>Jl. KH. Abdul Halim No.73, Munjul, Majalengka Kulon</t>
  </si>
  <si>
    <t>Majalengka</t>
  </si>
  <si>
    <t>0233 - 8291 6119</t>
  </si>
  <si>
    <t>rizki.faizar88@gmail.com</t>
  </si>
  <si>
    <t>DS/JABAR-07</t>
  </si>
  <si>
    <t>Jabar7</t>
  </si>
  <si>
    <t>DARMA BAN</t>
  </si>
  <si>
    <t>Jl. Raya A.H. Nasution No.298, Cipadung</t>
  </si>
  <si>
    <t>022 - 7800949</t>
  </si>
  <si>
    <t>darmasatria_68@yahoo.co.id</t>
  </si>
  <si>
    <t>DS/JABAR-08</t>
  </si>
  <si>
    <t>Jabar8</t>
  </si>
  <si>
    <t>FORMULA TIRES</t>
  </si>
  <si>
    <t>Jl. Lembong No.17, Braga, Sumur Bandung</t>
  </si>
  <si>
    <t>022 - 4205744 / 4200735 / 4221870</t>
  </si>
  <si>
    <t>DS/JABAR-09</t>
  </si>
  <si>
    <t>Jabar9</t>
  </si>
  <si>
    <t>GPS</t>
  </si>
  <si>
    <t>Jl. Cimanuk No.331, Jayawaras, Tarogong Kidul</t>
  </si>
  <si>
    <t>Garut</t>
  </si>
  <si>
    <t>0262 - 233367</t>
  </si>
  <si>
    <t>DS/JABAR-10</t>
  </si>
  <si>
    <t>Jabar10</t>
  </si>
  <si>
    <t>HARAPAN JAYA BAN</t>
  </si>
  <si>
    <t>Jl. Raya Sukamaju Km.28, Ciwidey, Pasir Jambu</t>
  </si>
  <si>
    <t>022 - 5928113</t>
  </si>
  <si>
    <t>h.ridwanm@yahoo.com</t>
  </si>
  <si>
    <t>DS/JABAR-11</t>
  </si>
  <si>
    <t>Jabar11</t>
  </si>
  <si>
    <t>HSB BAN</t>
  </si>
  <si>
    <t>Jl. Brigdjen Wasitakusuma No.1 (pertigaan), Indihiang</t>
  </si>
  <si>
    <t>Tasikmalaya</t>
  </si>
  <si>
    <t>0265 - 345295 / 345296</t>
  </si>
  <si>
    <t>DS/JABAR-13</t>
  </si>
  <si>
    <t>Jabar14</t>
  </si>
  <si>
    <t>KARYA USAHA</t>
  </si>
  <si>
    <t>Jl. Raya Tentara Pelajar No.28-30, Kel. Kejaksaan</t>
  </si>
  <si>
    <t>Cirebon</t>
  </si>
  <si>
    <t>0231 - 203754</t>
  </si>
  <si>
    <t>pieterson_andreas@yahoo.com</t>
  </si>
  <si>
    <t>DS/JABAR-14</t>
  </si>
  <si>
    <t>Jabar13</t>
  </si>
  <si>
    <t>LAJU JAYA PRIMA</t>
  </si>
  <si>
    <t>Jl. Raya Banjaran No.86, Batukarut, Arjasari</t>
  </si>
  <si>
    <t>022 - 5943282</t>
  </si>
  <si>
    <t>DS/JABAR-15</t>
  </si>
  <si>
    <t>Jabar15</t>
  </si>
  <si>
    <t>Jl. Raya Soreang - Banjaran No.168, Cangkuang</t>
  </si>
  <si>
    <t>DS/JABAR-16</t>
  </si>
  <si>
    <t>Jabar16</t>
  </si>
  <si>
    <t>LIBRA VARIASI</t>
  </si>
  <si>
    <t>Jl. Tuparev No.44, Kedungjaya, Kedawung</t>
  </si>
  <si>
    <t>0231 - 207888</t>
  </si>
  <si>
    <t>libravariasi@gmail.com</t>
  </si>
  <si>
    <t>DS/JABAR-17</t>
  </si>
  <si>
    <t>Jabar17</t>
  </si>
  <si>
    <t>MAJU BAN</t>
  </si>
  <si>
    <t>Jl. Mr. Iwa Kusumasumantri (Depan RS. Permata Bunda), Kel. Kertasari</t>
  </si>
  <si>
    <t>Ciamis</t>
  </si>
  <si>
    <t>0265 - 777855</t>
  </si>
  <si>
    <t>lina.herlina911@gmail.com</t>
  </si>
  <si>
    <t>DS/JABAR-18</t>
  </si>
  <si>
    <t>Jabar18</t>
  </si>
  <si>
    <t>MAKIN MAKMUR</t>
  </si>
  <si>
    <t>Jl. Raya Gado bangkong No.15, Ngamprah, Ds. Gadobangkong</t>
  </si>
  <si>
    <t>022 - 6651906 / 6651945</t>
  </si>
  <si>
    <t>DS/JABAR-19</t>
  </si>
  <si>
    <t>Jabar19</t>
  </si>
  <si>
    <t>MAKIN MAKMUR 2</t>
  </si>
  <si>
    <t>Jl. Raya Saar Sukamulya RT.002/008, Ds Karang Tanjung</t>
  </si>
  <si>
    <t>022 - 6651906</t>
  </si>
  <si>
    <t>DS/JABAR-20</t>
  </si>
  <si>
    <t>Jabar20</t>
  </si>
  <si>
    <t>MEKAR PUTRA BAN</t>
  </si>
  <si>
    <t>Jl. Setia Budi No.122B, Hegarmanah, Cidadap</t>
  </si>
  <si>
    <t>022 - 42311744 / 4264819</t>
  </si>
  <si>
    <t>mekarputra@gmail.com</t>
  </si>
  <si>
    <t>DS/JABAR-21</t>
  </si>
  <si>
    <t>Jabar21</t>
  </si>
  <si>
    <t>MUTIARA JAYA BAN</t>
  </si>
  <si>
    <t>Jl. Ahmad Yani No.90, Pasirkareumbi</t>
  </si>
  <si>
    <t>0260 - 411772</t>
  </si>
  <si>
    <t>DS/JABAR-22</t>
  </si>
  <si>
    <t>Jabar22</t>
  </si>
  <si>
    <t>PERKASA JAYA</t>
  </si>
  <si>
    <t>Jl. Raya Lawsi No.01, Cidawolong, Majalaya</t>
  </si>
  <si>
    <t>0265 - 5954295</t>
  </si>
  <si>
    <t>biantheodores907@gmail.com</t>
  </si>
  <si>
    <t>DS/JABAR-23</t>
  </si>
  <si>
    <t>Jabar23</t>
  </si>
  <si>
    <t>HDP AUTO WORLD</t>
  </si>
  <si>
    <t>Jl. Jendral Sudirman No.3, Kota Kulon, Garut Kota</t>
  </si>
  <si>
    <t>0262 - 542989</t>
  </si>
  <si>
    <t>cv.hamdaniputra@gmail.com</t>
  </si>
  <si>
    <t>DS/JABAR-24</t>
  </si>
  <si>
    <t>Jabar24</t>
  </si>
  <si>
    <t>PUTRA SUBUR BAN</t>
  </si>
  <si>
    <t>Jl. HZ. Mustofa No.349, Kel. Tugujaya, Kec. Cihideung</t>
  </si>
  <si>
    <t>0265 - 338862</t>
  </si>
  <si>
    <t>yayankarlina@gmail.com</t>
  </si>
  <si>
    <t>DS/JABAR-25</t>
  </si>
  <si>
    <t>Jabar25</t>
  </si>
  <si>
    <t>RAJA AUTO TYRE</t>
  </si>
  <si>
    <t>Jl. Baros No.5B, Baros, Cimahi</t>
  </si>
  <si>
    <t>Cimahi</t>
  </si>
  <si>
    <t>022 - 70600228</t>
  </si>
  <si>
    <t>raja.tire@gmail.com</t>
  </si>
  <si>
    <t>DS/JABAR-26</t>
  </si>
  <si>
    <t>Jabar26</t>
  </si>
  <si>
    <t>RAJA BAN</t>
  </si>
  <si>
    <t>Jl. Jend. Sudirman No.361, Ciroyom, Andir</t>
  </si>
  <si>
    <t>022 - 6013189 / 6072483</t>
  </si>
  <si>
    <t>kwandy888@gmail.com</t>
  </si>
  <si>
    <t>DS/JABAR-27</t>
  </si>
  <si>
    <t>Jabar28</t>
  </si>
  <si>
    <t>SELAMET AUTO CARE</t>
  </si>
  <si>
    <t>Jl. Soekarno-Hatta No.95 By Pass, Babakan Ciparay</t>
  </si>
  <si>
    <t>022 - 6017316</t>
  </si>
  <si>
    <t>selametautocare@gmail.com</t>
  </si>
  <si>
    <t>DS/JABAR-28</t>
  </si>
  <si>
    <t>Jabar29</t>
  </si>
  <si>
    <t>SM BAN</t>
  </si>
  <si>
    <t>Jl. Angkrek No.115, Situ, Sumedang Utara</t>
  </si>
  <si>
    <t>Sumedang</t>
  </si>
  <si>
    <t>0261-205950</t>
  </si>
  <si>
    <t>dahyasumedang@gmail.com</t>
  </si>
  <si>
    <t>DS/JABAR-29</t>
  </si>
  <si>
    <t>Jabar30</t>
  </si>
  <si>
    <t>Jl. Prabu Tadjimalela No.97B, Rancamulya, Sumedang Utara</t>
  </si>
  <si>
    <t>ilhamr65@gmail.com</t>
  </si>
  <si>
    <t>DS/JABAR-30</t>
  </si>
  <si>
    <t>Jabar31</t>
  </si>
  <si>
    <t>STAR SUBUR</t>
  </si>
  <si>
    <t>Jl. Soekarno Hatta No.319, Babakan Ciparay, 40234</t>
  </si>
  <si>
    <t>022 - 6002462</t>
  </si>
  <si>
    <t>yandistar75@gmail.com</t>
  </si>
  <si>
    <t>DS/JABAR-31</t>
  </si>
  <si>
    <t>Jabar32</t>
  </si>
  <si>
    <t>DC PROJECT</t>
  </si>
  <si>
    <t>Jl. Peta No.235, Kel. Sukaasih, Kec. Bojongloa</t>
  </si>
  <si>
    <t>022 - 6024277</t>
  </si>
  <si>
    <t>yuliacallista8605@gmail.com</t>
  </si>
  <si>
    <t>DS/JABAR-32</t>
  </si>
  <si>
    <t>Jabar33</t>
  </si>
  <si>
    <t>SUBUR BAN</t>
  </si>
  <si>
    <t>Jl. Peta No.71, Situsaeur, Bojongloa Kidul</t>
  </si>
  <si>
    <t>022 - 5225385</t>
  </si>
  <si>
    <t>suburbanmandiri@yahoo.com</t>
  </si>
  <si>
    <t>DS/JABAR-33</t>
  </si>
  <si>
    <t>Jabar34</t>
  </si>
  <si>
    <t>SUCI BAN</t>
  </si>
  <si>
    <t>Jl. Raya Cileunyi - Rancaekek Km.19 No.73, Cileunyi Wetan</t>
  </si>
  <si>
    <t>022 - 7798574</t>
  </si>
  <si>
    <t>tokosuciban@gmail.com</t>
  </si>
  <si>
    <t>DS/JABAR-34</t>
  </si>
  <si>
    <t>Jabar35</t>
  </si>
  <si>
    <t>SURYA JAYA</t>
  </si>
  <si>
    <t>Taman Kopo Indah 1 Blok B No.2 RT.01 RW.16, Ds. Margahayu Selatan, Kec. Margahayu</t>
  </si>
  <si>
    <t>022 - 5408293 / 92347628</t>
  </si>
  <si>
    <t>alvin_sk@yahoo.com</t>
  </si>
  <si>
    <t>DS/JABAR-35</t>
  </si>
  <si>
    <t>Jabar36</t>
  </si>
  <si>
    <t>Jl. Arya Cikondong No.1, Cianjur, Jawa Barat</t>
  </si>
  <si>
    <t>Cianjur</t>
  </si>
  <si>
    <t>0263 - 261236</t>
  </si>
  <si>
    <t>licht511191@gmail.com</t>
  </si>
  <si>
    <t>DS/JABAR-36</t>
  </si>
  <si>
    <t>Jabar37</t>
  </si>
  <si>
    <t>TIGA MANUNGGAL</t>
  </si>
  <si>
    <t>Jl. Parujakan No.75, Pekalangan, Pekalipan</t>
  </si>
  <si>
    <t>andreasyusak@gmail.com</t>
  </si>
  <si>
    <t>DS/JABAR-37</t>
  </si>
  <si>
    <t>Jabar25A</t>
  </si>
  <si>
    <t>AUTO SUBUR</t>
  </si>
  <si>
    <t>Jl. Terusan Buah Batu No.310, Kujangsari, 40288</t>
  </si>
  <si>
    <t>022 - 8750281</t>
  </si>
  <si>
    <t>kevinjonathan186@gmail.com</t>
  </si>
  <si>
    <t>DS/JABAR-38</t>
  </si>
  <si>
    <t>Jabar38</t>
  </si>
  <si>
    <t>S.A. HIDAYAH</t>
  </si>
  <si>
    <t>Jl. Raya Kawali No.237 Kawali, Ciamis</t>
  </si>
  <si>
    <t>081322095491</t>
  </si>
  <si>
    <t>DS/JABAR-39</t>
  </si>
  <si>
    <t>Jabar39</t>
  </si>
  <si>
    <t>RODA KENCANA BAN</t>
  </si>
  <si>
    <t>Jl. Raya Caringin No.357 Kertajaya, Desa Margajaya, Kec. Ngamprah</t>
  </si>
  <si>
    <t>Kab. Bandung Barat</t>
  </si>
  <si>
    <t>022 - 8778 1751</t>
  </si>
  <si>
    <t>pt.suburrajarodasejahtera@gmail.com</t>
  </si>
  <si>
    <t>DS/JABAR-40</t>
  </si>
  <si>
    <t>Jabar40</t>
  </si>
  <si>
    <t>STROBAN</t>
  </si>
  <si>
    <t>Jl. RE Martadinata No.524, Kertawangun, Sindangagung, Kuningan Regency</t>
  </si>
  <si>
    <t>Kuningan</t>
  </si>
  <si>
    <t>081-1212-117</t>
  </si>
  <si>
    <t>DS/JABO-01</t>
  </si>
  <si>
    <t>Jabo4</t>
  </si>
  <si>
    <t>ANDALA 4</t>
  </si>
  <si>
    <t>Jl. Gading Serpong Boulevard Kav.S16, Summarecon Gading, Serpong</t>
  </si>
  <si>
    <t>Tangerang</t>
  </si>
  <si>
    <t>JABODETABEK</t>
  </si>
  <si>
    <t>Banten</t>
  </si>
  <si>
    <t>Jabodetabek</t>
  </si>
  <si>
    <t>081514007468</t>
  </si>
  <si>
    <t>(021) 53124687/0815 1400 7468</t>
  </si>
  <si>
    <t>andre@andala.co.id</t>
  </si>
  <si>
    <t>DS/JABO-02</t>
  </si>
  <si>
    <t>Jabo1</t>
  </si>
  <si>
    <t>ANDALA 1</t>
  </si>
  <si>
    <t>Jl. Cinere Raya 468, Cinere</t>
  </si>
  <si>
    <t>Depok</t>
  </si>
  <si>
    <t>021 - 7548350 / 63</t>
  </si>
  <si>
    <t>DS/JABO-03</t>
  </si>
  <si>
    <t>Jabo2</t>
  </si>
  <si>
    <t>ANDALA 2</t>
  </si>
  <si>
    <t>Jl. Boulevard Graha Raya N1-1, Pakujaya, Serpong Utara</t>
  </si>
  <si>
    <t>Tangerang Selatan</t>
  </si>
  <si>
    <t>021 - 53125223</t>
  </si>
  <si>
    <t>DS/JABO-04</t>
  </si>
  <si>
    <t>Jabo3</t>
  </si>
  <si>
    <t>ANDALA 3</t>
  </si>
  <si>
    <t>Jl. Jend. Sudirman Blok J No.5 Sektor 9, Bintaro Jaya</t>
  </si>
  <si>
    <t>021 - 22213266</t>
  </si>
  <si>
    <t>DS/JABO-05</t>
  </si>
  <si>
    <t>Jabo5</t>
  </si>
  <si>
    <t>ANDRE MOTOR 1</t>
  </si>
  <si>
    <t>Jl. Raya Jakarta Serang Km.6, Pakupatan</t>
  </si>
  <si>
    <t>Serang</t>
  </si>
  <si>
    <t>0818 842 838</t>
  </si>
  <si>
    <t>andremotorpusat1@gmail.com</t>
  </si>
  <si>
    <t>DS/JABO-06</t>
  </si>
  <si>
    <t>Jabo6</t>
  </si>
  <si>
    <t>ANDRE MOTOR 2</t>
  </si>
  <si>
    <t>Jl. Raya Cilegon Km.3, Legok, Serang, Banten</t>
  </si>
  <si>
    <t>0254 - 284044</t>
  </si>
  <si>
    <t>vv.susianty@gmail.com</t>
  </si>
  <si>
    <t>DS/JABO-07</t>
  </si>
  <si>
    <t>Jabo7</t>
  </si>
  <si>
    <t>ANDRE MOTOR 3</t>
  </si>
  <si>
    <t>Jl. Raya Ayip Usman No.3, Kebaharan Baru, Lopang</t>
  </si>
  <si>
    <t>DS/JABO-08</t>
  </si>
  <si>
    <t>Jabo8</t>
  </si>
  <si>
    <t>ANDRE MOTOR 4</t>
  </si>
  <si>
    <t>Jl. Lingkar Sempu Banten Girang/Jl. Ki Ajurum No.30, Cipare</t>
  </si>
  <si>
    <t>DS/JABO-10</t>
  </si>
  <si>
    <t>Jabo10</t>
  </si>
  <si>
    <t>AUTO BAN SERPONG</t>
  </si>
  <si>
    <t>Jl. Raya Serpong Km.8 No.15, Pakulonan, Serpong Utara</t>
  </si>
  <si>
    <t>021 - 5396156 / 5397490</t>
  </si>
  <si>
    <t>mariatj1166@gmail.com</t>
  </si>
  <si>
    <t>DS/JABO-12</t>
  </si>
  <si>
    <t>Jabo12</t>
  </si>
  <si>
    <t>CIPUTAT TIRE CENTER</t>
  </si>
  <si>
    <t>Jl. Ir H. Juanda No.41, Pisngan, Ciputat Timur</t>
  </si>
  <si>
    <t>021 - 7401361 / 93008354</t>
  </si>
  <si>
    <t>hilda.anggraeni@gmail.com</t>
  </si>
  <si>
    <t>DS/JABO-14</t>
  </si>
  <si>
    <t>Jabo44</t>
  </si>
  <si>
    <t>CV. PITSTOP KARAWACI</t>
  </si>
  <si>
    <t>Karawaci Office Park (Ruko Pinangsia) Blok A No.7 Lippo Karawaci</t>
  </si>
  <si>
    <t>08179984228</t>
  </si>
  <si>
    <t>021 - 55776050</t>
  </si>
  <si>
    <t>jon_pitstop@yahoo.com</t>
  </si>
  <si>
    <t>DS/JABO-15</t>
  </si>
  <si>
    <t>Jabo14</t>
  </si>
  <si>
    <t>SEKAWAN BAN OTOMOTIF</t>
  </si>
  <si>
    <t>Jl. Sultan Agung Km.28 No.41, Bekasi Barat</t>
  </si>
  <si>
    <t>Bekasi</t>
  </si>
  <si>
    <t>021 - 8840699 / 88851834</t>
  </si>
  <si>
    <t>DS/JABO-18</t>
  </si>
  <si>
    <t>Jabo51</t>
  </si>
  <si>
    <t>EKA JAYA GROUP</t>
  </si>
  <si>
    <t>Jl. Lingkar Tanjung Pura (Depan Perum Permatasari Indah), Plumbonsari, Karawang Timur</t>
  </si>
  <si>
    <t>Karawang</t>
  </si>
  <si>
    <t>0857 4988 2743</t>
  </si>
  <si>
    <t>ekajayagroup.karawang@gmail.com</t>
  </si>
  <si>
    <t>DS/JABO-19</t>
  </si>
  <si>
    <t>Jabo17</t>
  </si>
  <si>
    <t>Jl. K.H. Nur Ali Kav.2 No.89 - Kalimalang, Jakasampurna, Bekasi Barat</t>
  </si>
  <si>
    <t>021 - 8644221 / 86906075</t>
  </si>
  <si>
    <t>ekajayagroup.bekasi@gmail.com</t>
  </si>
  <si>
    <t>DS/JABO-20</t>
  </si>
  <si>
    <t>Jabo18</t>
  </si>
  <si>
    <t>EKA MANDIRI JAYA BAN</t>
  </si>
  <si>
    <t>Jl. Lingkar Selatan Km.01, Harjatani, Kramatwatu</t>
  </si>
  <si>
    <t>0813 8234 4520</t>
  </si>
  <si>
    <t>ekamandirijayaban@gmail.com</t>
  </si>
  <si>
    <t>DS/JABO-21</t>
  </si>
  <si>
    <t>Jabo19</t>
  </si>
  <si>
    <t>ESPEDE BAN</t>
  </si>
  <si>
    <t>Plaza Mitra Blok A/2 Jl. Cut Mutiah Rawapanjang</t>
  </si>
  <si>
    <t>021 - 82404403 / 82404378</t>
  </si>
  <si>
    <t>pbastianto@gmail.com</t>
  </si>
  <si>
    <t>DS/JABO-22</t>
  </si>
  <si>
    <t>Jabo20</t>
  </si>
  <si>
    <t>Jl. Pemuda No.11 Rt.08/04 Kel. Rawamangun Kec. Pulo Gadung</t>
  </si>
  <si>
    <t>Jakarta Timur</t>
  </si>
  <si>
    <t>DKI Jakarta</t>
  </si>
  <si>
    <t>021 - 4701054 / 4890228</t>
  </si>
  <si>
    <t>jordyemir.work@gmail.com</t>
  </si>
  <si>
    <t>DS/JABO-24</t>
  </si>
  <si>
    <t>Jabo22</t>
  </si>
  <si>
    <t>FACTORY BAN</t>
  </si>
  <si>
    <t>Jl. Raya Bogor Km.28 RT 02 RW 04, Pakayon, Pasar Rebo</t>
  </si>
  <si>
    <t>021 - 22327922</t>
  </si>
  <si>
    <t>felixrivandifelix@yahoo.com</t>
  </si>
  <si>
    <t>DS/JABO-25</t>
  </si>
  <si>
    <t>Jabo23</t>
  </si>
  <si>
    <t>FERARI AUSELINDO</t>
  </si>
  <si>
    <t>Jl. Fatah Hasan No.11/56, Sumurpecung, Ciceri</t>
  </si>
  <si>
    <t>0254 - 216001</t>
  </si>
  <si>
    <t>auselindo@yahoo.com</t>
  </si>
  <si>
    <t>DS/JABO-26</t>
  </si>
  <si>
    <t>Jabo26</t>
  </si>
  <si>
    <t>FORTUNA AUTO SERVICE</t>
  </si>
  <si>
    <t>Jl. Raya Serang Km.12, Serdang, Kramatwatu</t>
  </si>
  <si>
    <t>0254 - 399910</t>
  </si>
  <si>
    <t>kmabanten46@gmail.com</t>
  </si>
  <si>
    <t>DS/JABO-27</t>
  </si>
  <si>
    <t>Jabo27</t>
  </si>
  <si>
    <t>HARAPAN INDAH BAN</t>
  </si>
  <si>
    <t>Jl. Sentra Onderdil Blok EM No.9 RT 005/RW 017, Kel. Pejuang, Kec. Medan Satria</t>
  </si>
  <si>
    <t>021 - 88873330 / 85595083</t>
  </si>
  <si>
    <t>robby_hwa@yahoo.com</t>
  </si>
  <si>
    <t>DS/JABO-28</t>
  </si>
  <si>
    <t>Jabo29</t>
  </si>
  <si>
    <t>ISTANA BAN</t>
  </si>
  <si>
    <t>Jl. Soleh Iskandar Kp. Salabenda Rt. 02 Rw.03, Parakan Jaya</t>
  </si>
  <si>
    <t>Bogor</t>
  </si>
  <si>
    <t>0251 - 75544700</t>
  </si>
  <si>
    <t>iman.aryadi.rahman@gmail.com</t>
  </si>
  <si>
    <t>DS/JABO-29</t>
  </si>
  <si>
    <t>Jabo30</t>
  </si>
  <si>
    <t>JATIWARINGIN AUTO TYRE</t>
  </si>
  <si>
    <t>Jl. Raya Jatiwaringin No.212 Pondok Gede, Bekasi</t>
  </si>
  <si>
    <t>021 - 8642636</t>
  </si>
  <si>
    <t>DS/JABO-30</t>
  </si>
  <si>
    <t>Jabo28</t>
  </si>
  <si>
    <t>JAVA BAN</t>
  </si>
  <si>
    <t>Jl. Cirendeu Raya No.3A, Cirendeu, Ciputat Timur</t>
  </si>
  <si>
    <t>021 - 7401002 / 7420899</t>
  </si>
  <si>
    <t>ag.javtek@gmail.com</t>
  </si>
  <si>
    <t>DS/JABO-31</t>
  </si>
  <si>
    <t>Jabo31</t>
  </si>
  <si>
    <t>JAYA MOTOR 92</t>
  </si>
  <si>
    <t>Jl. Surotokunto No.16, Warung Bambu, Karawang Timur</t>
  </si>
  <si>
    <t>0267 - 402868</t>
  </si>
  <si>
    <t>jbkarawang@gmail.com</t>
  </si>
  <si>
    <t>DS/JABO-32</t>
  </si>
  <si>
    <t>Jabo33</t>
  </si>
  <si>
    <t>JS AUTO 1</t>
  </si>
  <si>
    <t>Jl. Raya Siliwangi No.3, Pondok Benda, Pamulang</t>
  </si>
  <si>
    <t>0851-0078 1200</t>
  </si>
  <si>
    <t>DS/JABO-34</t>
  </si>
  <si>
    <t>Jabo34</t>
  </si>
  <si>
    <t>KEMALA BAN</t>
  </si>
  <si>
    <t>Jl. Pos Pengumben Raya No.30, Joglo</t>
  </si>
  <si>
    <t>Jakarta Barat</t>
  </si>
  <si>
    <t>021 - 5868523 / 5851382</t>
  </si>
  <si>
    <t>ade_kemala@ymail.com</t>
  </si>
  <si>
    <t>DS/JABO-35</t>
  </si>
  <si>
    <t>Jabo35</t>
  </si>
  <si>
    <t>KIAN MANDIRI</t>
  </si>
  <si>
    <t>Jl. Hibrida Raya Blok RA 3 No.28 Kelapa Gading (pintu III)</t>
  </si>
  <si>
    <t>Jakarta Utara</t>
  </si>
  <si>
    <t>021 - 45841988 / 4507467</t>
  </si>
  <si>
    <t>kianmandirimotor@gmail.com</t>
  </si>
  <si>
    <t>DS/JABO-36</t>
  </si>
  <si>
    <t>Jabo36</t>
  </si>
  <si>
    <t>LANCAR JAYA BAN</t>
  </si>
  <si>
    <t>Jl. Letjend Soeprapto No.78 RT.02/03, Kel.Tanah Tinggi, Kec. Johar Baru</t>
  </si>
  <si>
    <t>Jakarta Pusat</t>
  </si>
  <si>
    <t>021 - 4222257</t>
  </si>
  <si>
    <t>n31y_d3516n@yahoo.com</t>
  </si>
  <si>
    <t>DS/JABO-37</t>
  </si>
  <si>
    <t>Jabo52</t>
  </si>
  <si>
    <t>MASTERODA</t>
  </si>
  <si>
    <t>Jl. Benteng Betawi, Komp. Taman Royal 3 - Ruko Cluster Jati No.8&amp;9, Tanah Tinggi</t>
  </si>
  <si>
    <t>0812-9610-0099</t>
  </si>
  <si>
    <t>indiegozz@gmail.com</t>
  </si>
  <si>
    <t>DS/JABO-38</t>
  </si>
  <si>
    <t>Jabo37</t>
  </si>
  <si>
    <t>MEKAR JAYA BAN</t>
  </si>
  <si>
    <t>Jl. Raya Pengkolan Kali Jaya No.7-8, Cikarang</t>
  </si>
  <si>
    <t>021 - 89108655</t>
  </si>
  <si>
    <t>raisassgaseri@yahoo.com</t>
  </si>
  <si>
    <t>DS/JABO-39</t>
  </si>
  <si>
    <t>Jabo39</t>
  </si>
  <si>
    <t>BOY AUTO SERVICE</t>
  </si>
  <si>
    <t>Jl. Raya Serang Km.35, Kp. Jayanti, Cikande, Balaraja</t>
  </si>
  <si>
    <t>0813 1477 1712</t>
  </si>
  <si>
    <t>murahban@gmail.com</t>
  </si>
  <si>
    <t>DS/JABO-40</t>
  </si>
  <si>
    <t>Jabo40</t>
  </si>
  <si>
    <t>NASIONAL JAYA BAN</t>
  </si>
  <si>
    <t>Ruko Taman Meruya Plaza Blok E 14 No.37, Meruya Utara, Kembangan</t>
  </si>
  <si>
    <t>021 - 5851472 / 5865117</t>
  </si>
  <si>
    <t>nasionaljayaban@yahoo.co.id</t>
  </si>
  <si>
    <t>DS/JABO-41</t>
  </si>
  <si>
    <t>Jabo41</t>
  </si>
  <si>
    <t>OTO ZONE</t>
  </si>
  <si>
    <t>Jl. MH. Thamrin Kav. 133 C, Business Park Lippo Cikarang</t>
  </si>
  <si>
    <t>021 - 89906611 / 89902493</t>
  </si>
  <si>
    <t>otozone133@gmail.com</t>
  </si>
  <si>
    <t>DS/JABO-42</t>
  </si>
  <si>
    <t>Jabo43</t>
  </si>
  <si>
    <t>OTOPAC</t>
  </si>
  <si>
    <t>Ruko The Point No.15 Jl. Raya Setu - Bantar Gebang No.308, Padurenan, Mustika Jaya</t>
  </si>
  <si>
    <t>021 - 8262 2300</t>
  </si>
  <si>
    <t>pedurenan.otopac.@gmail.com</t>
  </si>
  <si>
    <t>DS/JABO-45</t>
  </si>
  <si>
    <t>Jabo46</t>
  </si>
  <si>
    <t>PIT STOP 3</t>
  </si>
  <si>
    <t>Jl. Letnan Sutopo No.98 (Seberang BSD Autopart), Lengkong Gudang Timur</t>
  </si>
  <si>
    <t>021 - 53157347</t>
  </si>
  <si>
    <t>pitstopserpong@yahoo.com</t>
  </si>
  <si>
    <t>DS/JABO-46</t>
  </si>
  <si>
    <t>Jabo47</t>
  </si>
  <si>
    <t>RAHAYU MOTOR</t>
  </si>
  <si>
    <t>Jl. Raya Sadeng No.5 RT 04 RW 05 Desa Sibanteng, Kec. Leuwisadeng</t>
  </si>
  <si>
    <t>0813 498 4000</t>
  </si>
  <si>
    <t>rahayumotor92@mail.com</t>
  </si>
  <si>
    <t>DS/JABO-47</t>
  </si>
  <si>
    <t>Jabo48</t>
  </si>
  <si>
    <t>RAJAWALI BAN</t>
  </si>
  <si>
    <t>Jl. Pluit Sakti 8 No.62, Pluit, Penjaringan</t>
  </si>
  <si>
    <t>021 - 6631674 / 68687747</t>
  </si>
  <si>
    <t>rajawaliban@gmail.com</t>
  </si>
  <si>
    <t>DS/JABO-48</t>
  </si>
  <si>
    <t>Jabo49</t>
  </si>
  <si>
    <t>RAPERIND MOTOR</t>
  </si>
  <si>
    <t>Jl. Radin Inten II No.9, Duren Sawit</t>
  </si>
  <si>
    <t>021 - 8629545</t>
  </si>
  <si>
    <t>tba@raperind.com</t>
  </si>
  <si>
    <t>DS/JABO-50</t>
  </si>
  <si>
    <t>Jabo53</t>
  </si>
  <si>
    <t>SINAR KARAWANG</t>
  </si>
  <si>
    <t>Jl. Tuparev No.122 RT 001/RW 004, Kel. Nagasari, Kec. Karawang Barat</t>
  </si>
  <si>
    <t>0267 - 402905</t>
  </si>
  <si>
    <t>sinar.karawang.motor@gmail.com</t>
  </si>
  <si>
    <t>DS/JABO-52</t>
  </si>
  <si>
    <t>Jabo55</t>
  </si>
  <si>
    <t>SUBUR MAKMUR BAN</t>
  </si>
  <si>
    <t>Jl. Raya Jakarta Bogor Km.39 No.54 RT 001/RW 001, Kel. Pabuaran, Kec. Cibinong</t>
  </si>
  <si>
    <t>021 - 98564440 / 92762989</t>
  </si>
  <si>
    <t>gipsonhebrico1976@gmail.com</t>
  </si>
  <si>
    <t>DS/JABO-53</t>
  </si>
  <si>
    <t>Jabo57</t>
  </si>
  <si>
    <t>SUBUR MOTOR</t>
  </si>
  <si>
    <t>Jl. Raya Jakarta-Bogor Km.41 No.15 RT 07/RW 09, Kel. Pabuaran, Kec. Cibinong</t>
  </si>
  <si>
    <t>021 - 87906008</t>
  </si>
  <si>
    <t>suburmotorcbng43@gmail.com</t>
  </si>
  <si>
    <t>DS/JABO-54</t>
  </si>
  <si>
    <t>Jabo56</t>
  </si>
  <si>
    <t>Jl. Raya Kosambi No.12, Desa Duren, Kec. Klari</t>
  </si>
  <si>
    <t>0267 - 8615097</t>
  </si>
  <si>
    <t>rizalpono80@gmail.com</t>
  </si>
  <si>
    <t>DS/JABO-55</t>
  </si>
  <si>
    <t>Jabo58</t>
  </si>
  <si>
    <t>Jl. Raya Jonggol - Cileungsi No.168, Cileungsi Kidul, Gandoang</t>
  </si>
  <si>
    <t>ferdionfd10@gmail.com</t>
  </si>
  <si>
    <t>DS/JABO-57</t>
  </si>
  <si>
    <t>Jabo60</t>
  </si>
  <si>
    <t>SUMBER AGUNG BAN</t>
  </si>
  <si>
    <t>Jl. Raya Labuan Km.02 / Jl. Raya Perintis Kemerdekaan No.17, Kalanganyar, Labuan</t>
  </si>
  <si>
    <t>Pandeglang</t>
  </si>
  <si>
    <t>0878 0567 7868</t>
  </si>
  <si>
    <t>sab.labuan@gmail.com</t>
  </si>
  <si>
    <t>DS/JABO-58</t>
  </si>
  <si>
    <t>Jabo61</t>
  </si>
  <si>
    <t>SUMBER MAKMUR BAN</t>
  </si>
  <si>
    <t>Jl. Raya Jakarta - Serang Km.9 No.8 Kp. Kuwaron, Desa Citerep, Kec. Ciruas</t>
  </si>
  <si>
    <t>0254 - 281207 / 0812 9632 8554</t>
  </si>
  <si>
    <t>achmeadzein@gmail.com</t>
  </si>
  <si>
    <t>DS/JABO-59</t>
  </si>
  <si>
    <t>Jabo63</t>
  </si>
  <si>
    <t>TRI 22</t>
  </si>
  <si>
    <t>Jl. Otista Raya No.22, Bidara Cina, Jatinegara</t>
  </si>
  <si>
    <t>021 - 8198008</t>
  </si>
  <si>
    <t>sukardi_adil@yahoo.com</t>
  </si>
  <si>
    <t>DS/JABO-60</t>
  </si>
  <si>
    <t>Jabo62</t>
  </si>
  <si>
    <t>TRIJAYA BAN</t>
  </si>
  <si>
    <t>Jl. Kayu Manis No.1 RT 002/RW 003, Kel. Ciri Mekar, Kec. Cibinong</t>
  </si>
  <si>
    <t>021 - 87914835 / 0811-9777083</t>
  </si>
  <si>
    <t>oldyprima@gmail.com</t>
  </si>
  <si>
    <t>DS/JABO-63</t>
  </si>
  <si>
    <t>Jabo66</t>
  </si>
  <si>
    <t>EIKO MOBIL</t>
  </si>
  <si>
    <t>Jl. Raya Kelapa Puan AG 1/36, Pakulonan Barat, Kelapa Dua</t>
  </si>
  <si>
    <t>021 - 5461062</t>
  </si>
  <si>
    <t>helen.um2@gmail.com</t>
  </si>
  <si>
    <t>DS/JABO-68</t>
  </si>
  <si>
    <t>Jabo62.A</t>
  </si>
  <si>
    <t>Jl. Alternative Cibubur No.51, Jatikarya, Jatisampurna, Cibubur</t>
  </si>
  <si>
    <t>021 - 8459 6907</t>
  </si>
  <si>
    <t>trijaya.cibubur@gmail.com</t>
  </si>
  <si>
    <t>DS/JABO-69</t>
  </si>
  <si>
    <t>Jabo47.A</t>
  </si>
  <si>
    <t>Jl. Raya Cibadak Km.13, Ciampea</t>
  </si>
  <si>
    <t>ellenhanafa@gmail.com</t>
  </si>
  <si>
    <t>DS/JABO-70</t>
  </si>
  <si>
    <t>Jabo71</t>
  </si>
  <si>
    <t>CENTURY BAN</t>
  </si>
  <si>
    <t>Jl. Lapangan Bola No.48, Kebon Jeruk</t>
  </si>
  <si>
    <t>021-5323590/5323591/5302423/0813-88776789</t>
  </si>
  <si>
    <t>centuryban@hotmail.com</t>
  </si>
  <si>
    <t>DS/JABO-71</t>
  </si>
  <si>
    <t>Jabo72</t>
  </si>
  <si>
    <t>ANDALA 5</t>
  </si>
  <si>
    <t>Jl. Bintaro Sektor 3 Blok DD 12A No.1A, Bintaro, Pd. Aren</t>
  </si>
  <si>
    <t>DS/JABO-72</t>
  </si>
  <si>
    <t>Jabo73</t>
  </si>
  <si>
    <t>MULTI BAN</t>
  </si>
  <si>
    <t>Ruko Symphony Blok HX-1 No.105 Harapan Indah 2, Bekasi Barat</t>
  </si>
  <si>
    <t xml:space="preserve">Bekasi </t>
  </si>
  <si>
    <t>multiban@yahoo.com</t>
  </si>
  <si>
    <t>DS/JABO-73</t>
  </si>
  <si>
    <t>Jabo74</t>
  </si>
  <si>
    <t xml:space="preserve">Jl. Griya Utama Blok A1 No.18 - 20 Sunter </t>
  </si>
  <si>
    <t>0816-824341</t>
  </si>
  <si>
    <t>paramitaban.sunter@gmail.com</t>
  </si>
  <si>
    <t>DS/JABO-74</t>
  </si>
  <si>
    <t>Jabo75</t>
  </si>
  <si>
    <t>LAUTAN BAN</t>
  </si>
  <si>
    <t>Jl. Suvarna Sutra Boulevard Kav.30 No.10, Pasir Gadung, Cikupa</t>
  </si>
  <si>
    <t>0818-888198</t>
  </si>
  <si>
    <t>lautanbantgr2@gmail.con</t>
  </si>
  <si>
    <t>DS/JABO-75</t>
  </si>
  <si>
    <t>Jabo36.A</t>
  </si>
  <si>
    <t>LANCAR JAYA BAN 2</t>
  </si>
  <si>
    <t>Jl. Letjend Soeprapto No.11-15 RT.08/03 Cempaka Putih Barat, Kec. Cempaka Putih</t>
  </si>
  <si>
    <t>ptlancarjayaban@gmail.com</t>
  </si>
  <si>
    <t>DS/JABO-76</t>
  </si>
  <si>
    <t>Jabo76</t>
  </si>
  <si>
    <t>UTAMA VARIASI BAN</t>
  </si>
  <si>
    <t>Jl. Diponegoro No.89, Tambun, Bekasi Timur</t>
  </si>
  <si>
    <t>021-82675676/89990075/081319000339</t>
  </si>
  <si>
    <t>DS/JABO-77</t>
  </si>
  <si>
    <t>Jabo77</t>
  </si>
  <si>
    <t>GALUNGGUNG BAN</t>
  </si>
  <si>
    <t>Jl. Raya Wibawa Mukti II (komsen), Jatiasih, Kec. Jati Asih</t>
  </si>
  <si>
    <t>021 - 82414766</t>
  </si>
  <si>
    <t>DS/JABO-78</t>
  </si>
  <si>
    <t>Jabo43.A</t>
  </si>
  <si>
    <t>Rukan CBD Green Lake City Boulevard Blok M 11-12, Cipondoh</t>
  </si>
  <si>
    <t>0813 1921 2607</t>
  </si>
  <si>
    <t>DS/JABO-79</t>
  </si>
  <si>
    <t>Jabo78</t>
  </si>
  <si>
    <t>RICHIE BAN</t>
  </si>
  <si>
    <t>Ruko Garden Vienna Blok BB No.1-2 Sektor 12 BSD City, Rawa Buntu, Serpong</t>
  </si>
  <si>
    <t>021 - 7588 3261</t>
  </si>
  <si>
    <t>DS/JABO-80</t>
  </si>
  <si>
    <t>Jabo79</t>
  </si>
  <si>
    <t>METROPOLITAN BAN</t>
  </si>
  <si>
    <t>Jl. Tanjung Duren Raya No.159,Kel. Tanjung Duren Selatan, Kec. Grogol Petamburan</t>
  </si>
  <si>
    <t>DS/JABO-81</t>
  </si>
  <si>
    <t>Jabo80</t>
  </si>
  <si>
    <t>Jl. Raya Merdeka No. 175, Cimone Jaya, Kec. Karawaci, Kota Tangerang, Banten</t>
  </si>
  <si>
    <t>DS/JABO-82</t>
  </si>
  <si>
    <t>Jabo81</t>
  </si>
  <si>
    <t>NAWILIS</t>
  </si>
  <si>
    <t>Jl. Batu Tulis No.70, RT.03/RW.08, Batutulis, Kec. Bogor Sel., Kota Bogor, Jawa Barat 16133</t>
  </si>
  <si>
    <t>0251-8338833</t>
  </si>
  <si>
    <t>DS/JABO-83</t>
  </si>
  <si>
    <t>JASUTRA MOTOR</t>
  </si>
  <si>
    <t>Jl Raya Interchange 235, Wadas, Telukjambe Timur, Karawang, Jawa Barat 41361</t>
  </si>
  <si>
    <t>08118688088/081230008618</t>
  </si>
  <si>
    <t>DS/JABO-84</t>
  </si>
  <si>
    <t>AUTO SERVICE TYRE</t>
  </si>
  <si>
    <t>Jl. Raya Muchtar No.7 3, RT./RW/RW.7, Sawangan Baru, Kec. Sawangan, Kota Depok, Jawa Barat 16511</t>
  </si>
  <si>
    <t>DS/JABO-85</t>
  </si>
  <si>
    <t>ICHIBAN</t>
  </si>
  <si>
    <t>Jl. Kembangan Raya No.21, Kembangan Utara, Kec. Kembangan, Kota Jakarta Barat, Daerah Khusus Ibukota Jakarta 11610</t>
  </si>
  <si>
    <t>DS/JAMBI-01</t>
  </si>
  <si>
    <t>SK.Jambi1</t>
  </si>
  <si>
    <t>KLINIK BAN</t>
  </si>
  <si>
    <t>Jl. Sentot Ali Basa No.9-10 Payo Selincah, Jambi Timur</t>
  </si>
  <si>
    <t>Jambi</t>
  </si>
  <si>
    <t>0741 - 571366 / 082380124262</t>
  </si>
  <si>
    <t>brigittakarina99@gmail.com</t>
  </si>
  <si>
    <t>DS/JAMBI-02</t>
  </si>
  <si>
    <t>SK.Jambi2</t>
  </si>
  <si>
    <t>MEGA JAYA BAN</t>
  </si>
  <si>
    <t>Jl. Gr. Djamin Datuk Bagindo No.80-82, RT. 18, Pakuan Baru, Jambi Selatan, Jambi</t>
  </si>
  <si>
    <t>0741 - 32999 / 3026009 / 0813 6606 9998</t>
  </si>
  <si>
    <t>darmawanwiliadi@gmail.com</t>
  </si>
  <si>
    <t>DS/JAMBI-03</t>
  </si>
  <si>
    <t>SK.Jambi3</t>
  </si>
  <si>
    <t>MILENIUM BAN</t>
  </si>
  <si>
    <t>Jl. Hos Cokroaminoto 67-68 Simpang Kawat, Kel. Talang Banjar, Kec. Jambi Timur</t>
  </si>
  <si>
    <t>0741 - 444190 / 444191</t>
  </si>
  <si>
    <t>atat.email88@gmail.com</t>
  </si>
  <si>
    <t>DS/JAMBI-05</t>
  </si>
  <si>
    <t>SK.Jambi6</t>
  </si>
  <si>
    <t>Jl. Jendral Sudirman No.12, Thehok Jambi</t>
  </si>
  <si>
    <t>0741 - 3063251</t>
  </si>
  <si>
    <t>sutan.kasim_jbi@yahoo.co.id</t>
  </si>
  <si>
    <t>DS/JATENG-01</t>
  </si>
  <si>
    <t>Jateng1</t>
  </si>
  <si>
    <t>ABADI BAN</t>
  </si>
  <si>
    <t>Jl. Pemuda Km.4, Ngotet Kidul, Ngotet, Kec. Rembang</t>
  </si>
  <si>
    <t>Rembang</t>
  </si>
  <si>
    <t>JAWA TENGAH</t>
  </si>
  <si>
    <t>Jawa Tengah</t>
  </si>
  <si>
    <t>0295 - 691391</t>
  </si>
  <si>
    <t>andriyanizenas@gmail.com</t>
  </si>
  <si>
    <t>DS/JATENG-02</t>
  </si>
  <si>
    <t>Jateng3</t>
  </si>
  <si>
    <t>KARANGANYAR BAN 2</t>
  </si>
  <si>
    <t>Jl. Pesanggrahan Langenharjo No.2, Dusun I, Langnharjo, Grogol</t>
  </si>
  <si>
    <t>Sukoharjo</t>
  </si>
  <si>
    <t>0271 - 624339 / 623178</t>
  </si>
  <si>
    <t>erycams1@gmail.com</t>
  </si>
  <si>
    <t>DS/JATENG-03</t>
  </si>
  <si>
    <t>Jateng4</t>
  </si>
  <si>
    <t>ARGA BAN</t>
  </si>
  <si>
    <t>Jl. Pandanaran No.95, Pekunden, Semarang Tengah</t>
  </si>
  <si>
    <t>Semarang</t>
  </si>
  <si>
    <t>024 - 8410818 / 8410817</t>
  </si>
  <si>
    <t>argabansmg@gmail.com</t>
  </si>
  <si>
    <t>DS/JATENG-04</t>
  </si>
  <si>
    <t>Jateng5</t>
  </si>
  <si>
    <t>AUTO BANINDO GRHA</t>
  </si>
  <si>
    <t>Jl. Diponegoro No.20, Karanganom, Klaten Utara</t>
  </si>
  <si>
    <t>Klaten</t>
  </si>
  <si>
    <t>0272 - 3359688 / Fax 0272-3359288</t>
  </si>
  <si>
    <t>abgklaten@yahoo.com</t>
  </si>
  <si>
    <t>DS/JATENG-05</t>
  </si>
  <si>
    <t>Jateng48</t>
  </si>
  <si>
    <t>TRUCK CENTER</t>
  </si>
  <si>
    <t>Jl. Majapahit No.474, Pedurungan Lor, Pedurungan</t>
  </si>
  <si>
    <t>DS/JATENG-07</t>
  </si>
  <si>
    <t>Jateng8</t>
  </si>
  <si>
    <t>PT. KHARISMA MAKMUR ABADI</t>
  </si>
  <si>
    <t>Jl. S. Parman No.128, Karang Bawang, Purwokerto Selatan</t>
  </si>
  <si>
    <t>Kab. Banyumas</t>
  </si>
  <si>
    <t>0852 2312 2777</t>
  </si>
  <si>
    <t>fortunaban@yahoo.com</t>
  </si>
  <si>
    <t>DS/JATENG-08</t>
  </si>
  <si>
    <t>Jateng9</t>
  </si>
  <si>
    <t>Jl. Diponegoro No.51 Wirogunan (Depan SMP Kristen Kartasura), Kertonatan, Kartasura</t>
  </si>
  <si>
    <t>0888 685 0482</t>
  </si>
  <si>
    <t>kharismamakmurabadisolo@gmail.com</t>
  </si>
  <si>
    <t>DS/JATENG-09</t>
  </si>
  <si>
    <t>Jateng10</t>
  </si>
  <si>
    <t>GUNAWAN MOTOR</t>
  </si>
  <si>
    <t>Jl. Jendral Sudirman No.33-35, Purbalingga Lor, Purbalingga</t>
  </si>
  <si>
    <t>Purbalingga</t>
  </si>
  <si>
    <t>0281 - 91246</t>
  </si>
  <si>
    <t>rajawaliforever@yahoo.com</t>
  </si>
  <si>
    <t>DS/JATENG-10</t>
  </si>
  <si>
    <t>Jateng11</t>
  </si>
  <si>
    <t>Jl. Raya Kudus-Pati Km.08, Kalangan, Tenggeles, Mejobo</t>
  </si>
  <si>
    <t>Kudus</t>
  </si>
  <si>
    <t>0291 - 436749</t>
  </si>
  <si>
    <t>DS/JATENG-11</t>
  </si>
  <si>
    <t>Jateng12</t>
  </si>
  <si>
    <t>JOGJA SPEED</t>
  </si>
  <si>
    <t>Jl. Magelang No.206 Km.04, Progoyudan, Sinduadi, Sleman</t>
  </si>
  <si>
    <t>Yogyakarta</t>
  </si>
  <si>
    <t>DI Yogyakarta</t>
  </si>
  <si>
    <t>0274 - 882391</t>
  </si>
  <si>
    <t>mario.alvindo@gmail.com</t>
  </si>
  <si>
    <t>DS/JATENG-13</t>
  </si>
  <si>
    <t>Jateng14</t>
  </si>
  <si>
    <t>KARANGANYAR BAN</t>
  </si>
  <si>
    <t>Jl. RM Said Sidomulyo No.4, Tegalgede, Bejen, Sidomulyo</t>
  </si>
  <si>
    <t>Karanganyar</t>
  </si>
  <si>
    <t>0271 - 494498</t>
  </si>
  <si>
    <t>DS/JATENG-14</t>
  </si>
  <si>
    <t>Jateng15</t>
  </si>
  <si>
    <t>LESTARI MOTOR</t>
  </si>
  <si>
    <t>Jl. Mayjen Sutoyo No.88 RT 002/RW 003, Kel. Krandegan, Kec. Banjarnegara</t>
  </si>
  <si>
    <t>Banjarnegara</t>
  </si>
  <si>
    <t>0286 - 591608</t>
  </si>
  <si>
    <t>DS/JATENG-15</t>
  </si>
  <si>
    <t>Jateng16</t>
  </si>
  <si>
    <t>LPY BAN</t>
  </si>
  <si>
    <t>Jl. Imam Bonjol 125A, Pindrikan Lor, Semarang Tengah</t>
  </si>
  <si>
    <t>024 - 3511852</t>
  </si>
  <si>
    <t>michikolilianti@gmail.com</t>
  </si>
  <si>
    <t>DS/JATENG-16</t>
  </si>
  <si>
    <t>Jateng20</t>
  </si>
  <si>
    <t>MADJU SARI BAN</t>
  </si>
  <si>
    <t>Jl. Mgr. Sugiyo Pranoto, Proliman, Baleharjo, Mulyosari, Wonosari</t>
  </si>
  <si>
    <t>Wonosari</t>
  </si>
  <si>
    <t>0274 - 392426 / 081904096213/087838427721</t>
  </si>
  <si>
    <t>antoksusanpro5@gmail.com</t>
  </si>
  <si>
    <t>DS/JATENG-17</t>
  </si>
  <si>
    <t>Jateng19</t>
  </si>
  <si>
    <t>MADJU SARI</t>
  </si>
  <si>
    <t>Jl. Raya Klampok Km.02, Pebatan Barat, Pebatan, Kec. Wanasari</t>
  </si>
  <si>
    <t>Brebes</t>
  </si>
  <si>
    <t>mohsusantonugroho@gmail.com</t>
  </si>
  <si>
    <t>DS/JATENG-18</t>
  </si>
  <si>
    <t>Jateng18</t>
  </si>
  <si>
    <t xml:space="preserve">MAJU JAYA </t>
  </si>
  <si>
    <t>Jl. Mayjen DI. Panjaitan No.19, Donan, Cilacap Tengah</t>
  </si>
  <si>
    <t>Cilacap</t>
  </si>
  <si>
    <t>0282 - 533104</t>
  </si>
  <si>
    <t>swanawati_majujaya@yahoo.co.id</t>
  </si>
  <si>
    <t>DS/JATENG-19</t>
  </si>
  <si>
    <t>Jateng21</t>
  </si>
  <si>
    <t>MAJU SEMPURNA BAN</t>
  </si>
  <si>
    <t>Jl. Sarwo Edi Wibowo No.11, Ds. Banyurojo, Kec. Mertoyudan</t>
  </si>
  <si>
    <t>Magelang</t>
  </si>
  <si>
    <t>0293 - 360555</t>
  </si>
  <si>
    <t>DS/JATENG-20</t>
  </si>
  <si>
    <t>Jateng31</t>
  </si>
  <si>
    <t>PUTRA SEMPURNA BAN</t>
  </si>
  <si>
    <t>Jl. Pahlawan No.71 RT.04/03, Magelang Tengah</t>
  </si>
  <si>
    <t>madjusempurnaban@gmail.com</t>
  </si>
  <si>
    <t>DS/JATENG-21</t>
  </si>
  <si>
    <t>Jateng22</t>
  </si>
  <si>
    <t xml:space="preserve">MATARAM BAN </t>
  </si>
  <si>
    <t>Jl. Raya Tampingan Boja, Rejosari, Tampingan/Jl.PEMUDA NO.49 BOJA (SEBELAH KAPOLSEK BOJA, SEMARANG)</t>
  </si>
  <si>
    <t>Kendal</t>
  </si>
  <si>
    <t>0294 - 572390</t>
  </si>
  <si>
    <t>DS/JATENG-22</t>
  </si>
  <si>
    <t>Jateng23</t>
  </si>
  <si>
    <t>Jl. Patimura No.12, Rejomulyo, Semarang Timur</t>
  </si>
  <si>
    <t>024 - 3510907 / 08 / 09</t>
  </si>
  <si>
    <t>DS/JATENG-23</t>
  </si>
  <si>
    <t>Jateng24</t>
  </si>
  <si>
    <t>NEW MUPAKAT</t>
  </si>
  <si>
    <t>Jl. R. Agil Kusumadya No.5/5C, Desa Gatespejaten, Kec. Jati, Kab. Kudus</t>
  </si>
  <si>
    <t>0291 - 438387 / 435790</t>
  </si>
  <si>
    <t>newmupakat_kudus@yahoo.com</t>
  </si>
  <si>
    <t>DS/JATENG-26</t>
  </si>
  <si>
    <t>Jateng27</t>
  </si>
  <si>
    <t>NEW RAJAWALI MOTOR</t>
  </si>
  <si>
    <t>Jl. Kusuma (Utara Jadi Baru), Bumirejo, Kec. Kebumen</t>
  </si>
  <si>
    <t>Kebumen</t>
  </si>
  <si>
    <t>0287 - 382815</t>
  </si>
  <si>
    <t>DS/JATENG-28</t>
  </si>
  <si>
    <t>Jateng29</t>
  </si>
  <si>
    <t>PITSTOP</t>
  </si>
  <si>
    <t>Jl. Raya Songgo Langit, Gentan, Kec. Baki, Kabupaten Sukoharjo, Jawa Tengah 57556</t>
  </si>
  <si>
    <t>0271 - 7069037</t>
  </si>
  <si>
    <t>bejojoe@gmail.com</t>
  </si>
  <si>
    <t>DS/JATENG-29</t>
  </si>
  <si>
    <t>Jateng30</t>
  </si>
  <si>
    <t>PUTRA MATARAM</t>
  </si>
  <si>
    <t>Jl. Purworejo No.04 Tempelsari, Kalikajar</t>
  </si>
  <si>
    <t>Wonosobo</t>
  </si>
  <si>
    <t>0286 - 3329430</t>
  </si>
  <si>
    <t>DS/JATENG-30</t>
  </si>
  <si>
    <t>Jateng32</t>
  </si>
  <si>
    <t>CV. RAHMAT</t>
  </si>
  <si>
    <t>Jl. Letjen Suprapto No.8, Ngampilan</t>
  </si>
  <si>
    <t>0274 - 563919</t>
  </si>
  <si>
    <t>coan_ya@yahoi.com</t>
  </si>
  <si>
    <t>DS/JATENG-31</t>
  </si>
  <si>
    <t>Jateng33</t>
  </si>
  <si>
    <t>RIZKA JAYA</t>
  </si>
  <si>
    <t>Jl. Raya Demak - Kudus No.196, Tanubayan, Mranak, Demak</t>
  </si>
  <si>
    <t>Demak</t>
  </si>
  <si>
    <t>0291 - 6913966</t>
  </si>
  <si>
    <t>rizkajayadunlopshop@gmail.com</t>
  </si>
  <si>
    <t>DS/JATENG-32</t>
  </si>
  <si>
    <t>Jateng17</t>
  </si>
  <si>
    <t>RODA JAYA</t>
  </si>
  <si>
    <t>Jl. Raya Semarang-Boja Km.4,2 (Jl. Moch. Ichsan No.34) Kedungpane, Ngaliyan</t>
  </si>
  <si>
    <t>0812 2010 1266</t>
  </si>
  <si>
    <t>thomas.wahyono@gmail.com</t>
  </si>
  <si>
    <t>DS/JATENG-33</t>
  </si>
  <si>
    <t>Jateng35</t>
  </si>
  <si>
    <t>RODA MULIA BAN</t>
  </si>
  <si>
    <t>Jl. Jalak Barat No.33, Pekauman, Tegal Barat</t>
  </si>
  <si>
    <t>Tegal</t>
  </si>
  <si>
    <t>0283 - 356210</t>
  </si>
  <si>
    <t>rodamulia_ban@yahoo.com</t>
  </si>
  <si>
    <t>DS/JATENG-35</t>
  </si>
  <si>
    <t>Jateng37</t>
  </si>
  <si>
    <t>SAMANDA MOTOR</t>
  </si>
  <si>
    <t>Jl. Raya Pati - Tayu Km.04, Area Tambak, Kedungsari, Tayu</t>
  </si>
  <si>
    <t>Pati</t>
  </si>
  <si>
    <t>0295-452512</t>
  </si>
  <si>
    <t>rindan1305@yahoo.co.id</t>
  </si>
  <si>
    <t>DS/JATENG-36</t>
  </si>
  <si>
    <t>Jateng38</t>
  </si>
  <si>
    <t>SAMA SAMA MITRA MAJU</t>
  </si>
  <si>
    <t>Jl. Halmahera Raya 1A, Kel. Karang Tempel, Kec. Semarang Timur</t>
  </si>
  <si>
    <t>024 - 8416368 / 8440002</t>
  </si>
  <si>
    <t>ssmmajusmg@gmail.com</t>
  </si>
  <si>
    <t>DS/JATENG-37</t>
  </si>
  <si>
    <t>Jateng39</t>
  </si>
  <si>
    <t>SARANA BAN</t>
  </si>
  <si>
    <t>Jl. Siliwangi No.466, Kel. Kalibanteng Kulon, Kec. Semarang Barat</t>
  </si>
  <si>
    <t>024 - 7606013/ 0878-32220260</t>
  </si>
  <si>
    <t>handokorosa@gmail.com</t>
  </si>
  <si>
    <t>DS/JATENG-38</t>
  </si>
  <si>
    <t>Jateng47</t>
  </si>
  <si>
    <t>SEDAR BAN</t>
  </si>
  <si>
    <t>Jl. Geriliya Barat No.9, Bojong, Tanjung, Purwokerto Selatan</t>
  </si>
  <si>
    <t>0813 1121 1133</t>
  </si>
  <si>
    <t>ryankristanto@gmail.com</t>
  </si>
  <si>
    <t>DS/JATENG-39</t>
  </si>
  <si>
    <t>Jateng40</t>
  </si>
  <si>
    <t>SIDODADI BAN</t>
  </si>
  <si>
    <t>Jl. Jepara-Bangsri Km.13, Sekuro Mlonggo, Bangsri</t>
  </si>
  <si>
    <t>Jepara</t>
  </si>
  <si>
    <t>0822-65143597/089516916034</t>
  </si>
  <si>
    <t>DS/JATENG-40</t>
  </si>
  <si>
    <t>Jateng7</t>
  </si>
  <si>
    <t>SINAR BARU</t>
  </si>
  <si>
    <t>Jl. Fatmawati No.2 (Simpang Tembalang, Depan Pom Bensin Ketileng), Kedungmundu, Tembalang</t>
  </si>
  <si>
    <t>024 - 7641 8041</t>
  </si>
  <si>
    <t>DS/JATENG-41</t>
  </si>
  <si>
    <t>Jateng41</t>
  </si>
  <si>
    <t>SOLO PUTRA BAN</t>
  </si>
  <si>
    <t>Jl. Perintis Kemerdekaan No.50, Sondakan, Laweyan</t>
  </si>
  <si>
    <t>Surakarta</t>
  </si>
  <si>
    <t>0271 - 713855/0271-7452146</t>
  </si>
  <si>
    <t>dian_soloputra@yahoo.com</t>
  </si>
  <si>
    <t>DS/JATENG-42</t>
  </si>
  <si>
    <t>Jateng36</t>
  </si>
  <si>
    <t>SUBUR BAN/SABAR SUBUR</t>
  </si>
  <si>
    <t>Jl. Raya Blora-Purwodadi No.140, Krajan, Gatesrejo, Purwodadi</t>
  </si>
  <si>
    <t>Grobogan</t>
  </si>
  <si>
    <t>0852 2647 4035</t>
  </si>
  <si>
    <t>majubersamasubur@gmail.com</t>
  </si>
  <si>
    <t>DS/JATENG-43</t>
  </si>
  <si>
    <t>Jateng42</t>
  </si>
  <si>
    <t xml:space="preserve">SUBUR BAN </t>
  </si>
  <si>
    <t>Jl. Sudirman Barat No.68A, Dukuh, Rejasari, Purwokerto Barat</t>
  </si>
  <si>
    <t>0281 - 637098/(0281)630550</t>
  </si>
  <si>
    <t>waluyoefendi57@gmail.com</t>
  </si>
  <si>
    <t>DS/JATENG-44</t>
  </si>
  <si>
    <t>Jateng43</t>
  </si>
  <si>
    <t>SUBUR UTAMA BAN</t>
  </si>
  <si>
    <t>Jl. Jend Sudirman No.109 RT.02/01, Kebulen, Medono, Pekalongan Barat</t>
  </si>
  <si>
    <t>Pekalongan</t>
  </si>
  <si>
    <t>0285 - 429344 / 429345</t>
  </si>
  <si>
    <t>suburutamabanpkl@gmail.com</t>
  </si>
  <si>
    <t>DS/JATENG-46</t>
  </si>
  <si>
    <t>Jateng44</t>
  </si>
  <si>
    <t>SUMBER REJEKI BAN</t>
  </si>
  <si>
    <t>Jl. P. Diponegoro No. 9, Rembang, Tasikagung</t>
  </si>
  <si>
    <t>0295 - 691658 / 691445</t>
  </si>
  <si>
    <t>uchiha.seikai@gmail.com</t>
  </si>
  <si>
    <t>DS/JATENG-49</t>
  </si>
  <si>
    <t>Jateng49</t>
  </si>
  <si>
    <t>WIBOWO BAN</t>
  </si>
  <si>
    <t>Jl. Stadion Maguwoharjo No.21, Depok Maguwoharjo, Sleman</t>
  </si>
  <si>
    <t>0819 0371 7454</t>
  </si>
  <si>
    <t>DS/JATENG-50</t>
  </si>
  <si>
    <t>Jateng50</t>
  </si>
  <si>
    <t>Jl. Wahid Hasyim, Taskombang, Palbapang, Bantul</t>
  </si>
  <si>
    <t>0819 371 7454</t>
  </si>
  <si>
    <t>dentg0104@gmail.com</t>
  </si>
  <si>
    <t>DS/JATENG-51</t>
  </si>
  <si>
    <t>Jateng51</t>
  </si>
  <si>
    <t>MARI BAN</t>
  </si>
  <si>
    <t>Jl. Wonosari Km.10, Piyungan, Tegalsari</t>
  </si>
  <si>
    <t>0813 7000 1250</t>
  </si>
  <si>
    <t>tokomariban@gmail.com</t>
  </si>
  <si>
    <t>DS/JATENG-52</t>
  </si>
  <si>
    <t>Jateng52</t>
  </si>
  <si>
    <t>NEW PRODI</t>
  </si>
  <si>
    <t>Jl. Kembang Joyo No.47, Klegen, Kaliodoro, Pati</t>
  </si>
  <si>
    <t>0822 2007 4567</t>
  </si>
  <si>
    <t>DS/JATENG-53</t>
  </si>
  <si>
    <t>Jateng53</t>
  </si>
  <si>
    <t>PURNAMA BAN</t>
  </si>
  <si>
    <t>Jl. Kol Sugiri No.4-5, Bobotsari, Purbalingga</t>
  </si>
  <si>
    <t>Kab. Purbalingga</t>
  </si>
  <si>
    <t>0281759157</t>
  </si>
  <si>
    <t>banpurnama5@gmail.com</t>
  </si>
  <si>
    <t>DS/JATENG-54</t>
  </si>
  <si>
    <t>Jateng54</t>
  </si>
  <si>
    <t>NEW GUNAWAN MOTOR</t>
  </si>
  <si>
    <t>Jl. Jend. Sudirman No.215, Bancar, Kec. Purbalingga</t>
  </si>
  <si>
    <t>082125568000</t>
  </si>
  <si>
    <t>DS/JATENG-55</t>
  </si>
  <si>
    <t>Jateng55</t>
  </si>
  <si>
    <t>GRAZIA BAN</t>
  </si>
  <si>
    <t>Jl. Fatmawati No.168, Gumuksari, Lopait, Kec. Tuntang</t>
  </si>
  <si>
    <t>Salatiga</t>
  </si>
  <si>
    <t>DS/JATENG-56</t>
  </si>
  <si>
    <t>Jateng56</t>
  </si>
  <si>
    <t>NEW PRODI BAN</t>
  </si>
  <si>
    <t>Jl. Raya Kudus -Jepara Km.2 No.397, Prambatan Lor, Kaliwungu, Kudus, Jawa Tengah</t>
  </si>
  <si>
    <t>DS/JATENG-57</t>
  </si>
  <si>
    <t>SURYA MOTOR</t>
  </si>
  <si>
    <t>Jln. Raya Magelang Jogja KM 13 No. 60A, Batikan, Pabelan, Mungkid, Magelang Regency, Central Java 56512</t>
  </si>
  <si>
    <t>0811519000</t>
  </si>
  <si>
    <t>DS/JATENG-58</t>
  </si>
  <si>
    <t>3 BINTANG PUTRA KG</t>
  </si>
  <si>
    <t>Jl. Gedongkuning Selatan No.168, Pelem Mulong, Banguntapan, Kec. Banguntapan, Kota Yogyakarta, Daerah Istimewa Yogyakarta 55198</t>
  </si>
  <si>
    <t>081802535455</t>
  </si>
  <si>
    <t>3bpvelg@gmail.com</t>
  </si>
  <si>
    <t>DS/JATENG-59</t>
  </si>
  <si>
    <t>SAMA SAMA MITRA MAJU 4</t>
  </si>
  <si>
    <t>Jl. Kelud Raya No.44, Petompon, Kec. Gajahmungkur, Kota Semarang, Jawa Tengah 50237</t>
  </si>
  <si>
    <t>DS/JATIM-01</t>
  </si>
  <si>
    <t>Jatim33</t>
  </si>
  <si>
    <t>Jl. Raya Kuwukan No.78, Lontar, Sambikerep</t>
  </si>
  <si>
    <t>Surabaya</t>
  </si>
  <si>
    <t>JAWA TIMUR</t>
  </si>
  <si>
    <t>Jawa Timur</t>
  </si>
  <si>
    <t>031 - 3716176</t>
  </si>
  <si>
    <t>DS/JATIM-02</t>
  </si>
  <si>
    <t>Jatim1</t>
  </si>
  <si>
    <t>ALI BAN</t>
  </si>
  <si>
    <t>Jl. Yos Sudarso No.6 (Depan Pom Bensin Bulusan), Klatak, Kalipuro</t>
  </si>
  <si>
    <t>Banyuwangi</t>
  </si>
  <si>
    <t>0333 421461 - Mr. Wijaya (0818 03118780)</t>
  </si>
  <si>
    <t>DS/JATIM-03</t>
  </si>
  <si>
    <t>Jatim4</t>
  </si>
  <si>
    <t>UD. ANEKA BAN 101</t>
  </si>
  <si>
    <t>Jl. Undaan Kulon No.101, Peneleh, Genteng</t>
  </si>
  <si>
    <t>031 - 5341619 / 70123333</t>
  </si>
  <si>
    <t>aneka.ban101@yahoo.co.id</t>
  </si>
  <si>
    <t>DS/JATIM-04</t>
  </si>
  <si>
    <t>Jatim3</t>
  </si>
  <si>
    <t>ANEKA BAN</t>
  </si>
  <si>
    <t>Jl. Raya Kemangsen No.77, Kemangsen, Kec. Balongbendo</t>
  </si>
  <si>
    <t>Sidoarjo</t>
  </si>
  <si>
    <t>031 - 8973333</t>
  </si>
  <si>
    <t>DS/JATIM-05</t>
  </si>
  <si>
    <t>Jatim2</t>
  </si>
  <si>
    <t>Jl. MT. Haryono No.17, Kel. Kepolorejo, Kec. Magetan</t>
  </si>
  <si>
    <t>Magetan</t>
  </si>
  <si>
    <t>0351 - 4474236</t>
  </si>
  <si>
    <t>anugrahbanmagetan@gmail.com</t>
  </si>
  <si>
    <t>DS/JATIM-06</t>
  </si>
  <si>
    <t>Jatim5</t>
  </si>
  <si>
    <t>ARENA BAN</t>
  </si>
  <si>
    <t>Jl. Undaan Wetan No.28B, Ketabang, Genteng</t>
  </si>
  <si>
    <t>031 - 5313141</t>
  </si>
  <si>
    <t>sales@arenaban.com</t>
  </si>
  <si>
    <t>DS/JATIM-07</t>
  </si>
  <si>
    <t>Jatim6</t>
  </si>
  <si>
    <t>ARIESTA BAN</t>
  </si>
  <si>
    <t>Jl. Raya Cemeng Kalang No.20/23, Cemeng Kalang</t>
  </si>
  <si>
    <t>031 - 8965559/ 0811373055, 085852993441</t>
  </si>
  <si>
    <t>ariestaban@yahoo.com</t>
  </si>
  <si>
    <t>DS/JATIM-08</t>
  </si>
  <si>
    <t>Jatim7</t>
  </si>
  <si>
    <t>Jl. Kapasari No.90-92, Kapasan, Simokerto</t>
  </si>
  <si>
    <t>031 - 3763075</t>
  </si>
  <si>
    <t>pingjien_24@yahoo.com</t>
  </si>
  <si>
    <t>DS/JATIM-09</t>
  </si>
  <si>
    <t>Jatim8</t>
  </si>
  <si>
    <t>ASIA BARU</t>
  </si>
  <si>
    <t>Jl. DR. Cipto No.117, Krajan, Bedali, Lawang</t>
  </si>
  <si>
    <t>Malang</t>
  </si>
  <si>
    <t>0341 - 427942</t>
  </si>
  <si>
    <t>auraafriani12345@gmail.com</t>
  </si>
  <si>
    <t>DS/JATIM-10</t>
  </si>
  <si>
    <t>Jatim9</t>
  </si>
  <si>
    <t>ATP MOTOR</t>
  </si>
  <si>
    <t>Jl. Supriadi No.19, Bandungrejosari, Kec. Sukun</t>
  </si>
  <si>
    <t>0341 - 326991</t>
  </si>
  <si>
    <t>tikaandayani55@gmail.com</t>
  </si>
  <si>
    <t>DS/JATIM-11</t>
  </si>
  <si>
    <t>Jatim10</t>
  </si>
  <si>
    <t>AUZAN BAN</t>
  </si>
  <si>
    <t>Jl. KH. Wahid Hasyim No.51 (Depan Kantor Pos), Kepanjen, Kec. Jombang</t>
  </si>
  <si>
    <t>Jombang</t>
  </si>
  <si>
    <t>0321 - 869850/081252348666</t>
  </si>
  <si>
    <t>banjombang@gmail.com</t>
  </si>
  <si>
    <t>DS/JATIM-12</t>
  </si>
  <si>
    <t>Jatim11</t>
  </si>
  <si>
    <t>B&amp;S TYRE SERVICE &amp; TUNE UP</t>
  </si>
  <si>
    <t>Rungkut Asri Utara XIII / 12, Kali Rungkut, Rungkut</t>
  </si>
  <si>
    <t>031 - 5459859</t>
  </si>
  <si>
    <t>stevefranciscus@gmail.com</t>
  </si>
  <si>
    <t>DS/JATIM-13</t>
  </si>
  <si>
    <t>Jatim21</t>
  </si>
  <si>
    <t>BAN HENDRO</t>
  </si>
  <si>
    <t>Jl. Soekarno Hatta No.11A, Jatimulyo, Lowokwaru</t>
  </si>
  <si>
    <t>0341 - 414585 / 413704</t>
  </si>
  <si>
    <t>adesusanto21.as@gmail.com</t>
  </si>
  <si>
    <t>DS/JATIM-14</t>
  </si>
  <si>
    <t>Jatim43</t>
  </si>
  <si>
    <t>MASUKA TIRES</t>
  </si>
  <si>
    <t>Jl. IR. Juanda 154, Tonatan, Ponorogo</t>
  </si>
  <si>
    <t>Ponorogo</t>
  </si>
  <si>
    <t>0352 - 482979 / 0813 3094 9607</t>
  </si>
  <si>
    <t>ud.majuponorogo154@gmail.com</t>
  </si>
  <si>
    <t>DS/JATIM-15</t>
  </si>
  <si>
    <t>Jatim12</t>
  </si>
  <si>
    <t>BIANTO BAN</t>
  </si>
  <si>
    <t>Jl. Gatot Subroto No.2, Jodipan, Klojen</t>
  </si>
  <si>
    <t>0341 - 358519 / 320294</t>
  </si>
  <si>
    <t>bianto96@gmail.com</t>
  </si>
  <si>
    <t>DS/JATIM-16</t>
  </si>
  <si>
    <t>Jatim13</t>
  </si>
  <si>
    <t>CITY BAN</t>
  </si>
  <si>
    <t>Jl. Raya Jemur Sari No.162 Blok D/9, Kendangsari, Tenggilis Mejoyo</t>
  </si>
  <si>
    <t>031 - 8477434 / 8477385 / 8414075</t>
  </si>
  <si>
    <t>DS/JATIM-19</t>
  </si>
  <si>
    <t>Jatim15</t>
  </si>
  <si>
    <t>DUNLOP MADIUN</t>
  </si>
  <si>
    <t>Jl. Urip Sumoharjo No.10, Manguharjo, Kec. Manguharjo</t>
  </si>
  <si>
    <t>Madiun</t>
  </si>
  <si>
    <t>0351 - 451524 / 459056</t>
  </si>
  <si>
    <t>DS/JATIM-20</t>
  </si>
  <si>
    <t>Jatim16</t>
  </si>
  <si>
    <t>EKA JAYA BAN</t>
  </si>
  <si>
    <t>Jl. Veteran No.72, Injen Timur, Gapurosukolilo</t>
  </si>
  <si>
    <t>Gresik</t>
  </si>
  <si>
    <t>031 - 3970032</t>
  </si>
  <si>
    <t>ekajayaban072@gmail.com</t>
  </si>
  <si>
    <t>DS/JATIM-21</t>
  </si>
  <si>
    <t>Jatim17</t>
  </si>
  <si>
    <t>FORMULA</t>
  </si>
  <si>
    <t>Jl. Margomulyo No.51, Greges, Kec. Asem Rowo, Surabaya, Jawa Timur 60183</t>
  </si>
  <si>
    <t>0888 0487 0722</t>
  </si>
  <si>
    <t>DS/JATIM-22</t>
  </si>
  <si>
    <t>Jatim18</t>
  </si>
  <si>
    <t>GALAXY BAN</t>
  </si>
  <si>
    <t>Jl. Sultan Hasanudin No.11, Kedung Indah, Kedung Waru</t>
  </si>
  <si>
    <t>Tulungagung</t>
  </si>
  <si>
    <t>0355 - 333555</t>
  </si>
  <si>
    <t>cv.galaxyandromedasemesta@gmail.com</t>
  </si>
  <si>
    <t>DS/JATIM-23</t>
  </si>
  <si>
    <t>Jatim19</t>
  </si>
  <si>
    <t>GBT LARAS IMBANG</t>
  </si>
  <si>
    <t>Jl. Dharmahusada No.36, Mojo, Gubeng</t>
  </si>
  <si>
    <t>031 - 5914686</t>
  </si>
  <si>
    <t>DS/JATIM-24</t>
  </si>
  <si>
    <t>Jatim20</t>
  </si>
  <si>
    <t>GUNAWAN BAN</t>
  </si>
  <si>
    <t>Jl. Pecindilan No.10D, Kapasari, Genteng</t>
  </si>
  <si>
    <t>031 - 5031488 / 311697/(031)3712339</t>
  </si>
  <si>
    <t>DS/JATIM-25</t>
  </si>
  <si>
    <t>Jatim22</t>
  </si>
  <si>
    <t>HUTAMA MOTOR</t>
  </si>
  <si>
    <t>Jl. Bali No.193, Sananwetan</t>
  </si>
  <si>
    <t>Blitar</t>
  </si>
  <si>
    <t>0817 5158 668</t>
  </si>
  <si>
    <t>DS/JATIM-26</t>
  </si>
  <si>
    <t>Jatim23</t>
  </si>
  <si>
    <t>JATIM JAYA</t>
  </si>
  <si>
    <t>Jl. Gading Fajar II B/XI No.14-15 (Perum King Safira), Sepande, Kec. Candi</t>
  </si>
  <si>
    <t>031 - 8925489 / 082131752258</t>
  </si>
  <si>
    <t>fransiscus_8868@yahoo.com</t>
  </si>
  <si>
    <t>DS/JATIM-27</t>
  </si>
  <si>
    <t>Jatim26</t>
  </si>
  <si>
    <t>JAYA AUTOMOTIVE</t>
  </si>
  <si>
    <t>Jl. Raya Situbondo 88, Besuki</t>
  </si>
  <si>
    <t>Situbondo</t>
  </si>
  <si>
    <t>0338 - 891113</t>
  </si>
  <si>
    <t>automotivejaya@gmail.com</t>
  </si>
  <si>
    <t>DS/JATIM-28</t>
  </si>
  <si>
    <t>Jatim27</t>
  </si>
  <si>
    <t>JOMBANG VARIASI</t>
  </si>
  <si>
    <t>Jl. Anggrek No.77, Candi Mulyo, Kec. Jombang</t>
  </si>
  <si>
    <t>0321 - 862564 / 0856 4824 2422</t>
  </si>
  <si>
    <t>diansiska87@gmail.com</t>
  </si>
  <si>
    <t>DS/JATIM-30</t>
  </si>
  <si>
    <t>Jatim29</t>
  </si>
  <si>
    <t>MANDIRI SAKTI</t>
  </si>
  <si>
    <t>Jl. Raya Gubernur Sunandar Priyo Soedarmo 71, Sidomulyo, Krian</t>
  </si>
  <si>
    <t>031 - 8973 333</t>
  </si>
  <si>
    <t>leesuiyam@gmail.com</t>
  </si>
  <si>
    <t>DS/JATIM-31</t>
  </si>
  <si>
    <t>Jatim31</t>
  </si>
  <si>
    <t>MTR BAN</t>
  </si>
  <si>
    <t>Jl. Sidodadi No.4, Sidodadi, Simokerto</t>
  </si>
  <si>
    <t>031 - 3761982 / 3713305</t>
  </si>
  <si>
    <t>mitamar.ban@gmail.com</t>
  </si>
  <si>
    <t>DS/JATIM-32</t>
  </si>
  <si>
    <t>Jatim32</t>
  </si>
  <si>
    <t>MURNI BAN</t>
  </si>
  <si>
    <t>Jl. Pecindilan No.32-36, Bongkaran, Pabean Cantian</t>
  </si>
  <si>
    <t>031 - 3760477 / 3770112-3</t>
  </si>
  <si>
    <t>DS/JATIM-33</t>
  </si>
  <si>
    <t>Jatim34</t>
  </si>
  <si>
    <t>Jl. Hayam Wuruk No.51, Sempusari, Kaliwates</t>
  </si>
  <si>
    <t>Jember</t>
  </si>
  <si>
    <t>0816 824 341</t>
  </si>
  <si>
    <t>paramitaban.jember@yahoo.co.id</t>
  </si>
  <si>
    <t>DS/JATIM-34</t>
  </si>
  <si>
    <t>Jatim35</t>
  </si>
  <si>
    <t>PASTI JAYA BAN</t>
  </si>
  <si>
    <t>Jl. Rungkut Madya No.107, Rungkut Kidul, Rungkut</t>
  </si>
  <si>
    <t>031 - 8700205 / 8703332, 087851223518</t>
  </si>
  <si>
    <t>deddymualim@yahoo.co.id</t>
  </si>
  <si>
    <t>DS/JATIM-35</t>
  </si>
  <si>
    <t>Jatim36</t>
  </si>
  <si>
    <t>UD. PELITA SARANA BAN</t>
  </si>
  <si>
    <t>Jl. DR. Wahidin Sudirohusodo No.80, Putat Luar, Sukorame</t>
  </si>
  <si>
    <t>031 - 3986088</t>
  </si>
  <si>
    <t>winarkosetiadish@gmail.com</t>
  </si>
  <si>
    <t>DS/JATIM-37</t>
  </si>
  <si>
    <t>Jatim24</t>
  </si>
  <si>
    <t>PRATAMA ABADI</t>
  </si>
  <si>
    <t>Jl. Letjen S. Parman No.24, Banjaran, Tosaren</t>
  </si>
  <si>
    <t>Kediri</t>
  </si>
  <si>
    <t>0354 - 689214</t>
  </si>
  <si>
    <t>pratamaabadikdr@yahoo.com</t>
  </si>
  <si>
    <t>DS/JATIM-39</t>
  </si>
  <si>
    <t>Jatim38</t>
  </si>
  <si>
    <t>SANJAYA AUTO SERVICE</t>
  </si>
  <si>
    <t>Jl. Basuki Rahmat No 3 (Depan Roxy Mall), Mimbaan, Panji</t>
  </si>
  <si>
    <t>0338 - 673756</t>
  </si>
  <si>
    <t>nugrohoandre78@gmail.com</t>
  </si>
  <si>
    <t>DS/JATIM-40</t>
  </si>
  <si>
    <t>Jatim39</t>
  </si>
  <si>
    <t>SINAR JAYA</t>
  </si>
  <si>
    <t>Jl. Merak No.2/ Banjaran 1A, Krembangan Selatan, Krembangan</t>
  </si>
  <si>
    <t>031 - 3530126 - 3540373</t>
  </si>
  <si>
    <t>sinarjayatyres@gmail.com</t>
  </si>
  <si>
    <t>DS/JATIM-41</t>
  </si>
  <si>
    <t>Jatim40</t>
  </si>
  <si>
    <t>SOEN MOTOR</t>
  </si>
  <si>
    <t>Jl. Slamet Riyadi No.100, Tempokerso</t>
  </si>
  <si>
    <t>Lumajang</t>
  </si>
  <si>
    <t>0334 - 893656</t>
  </si>
  <si>
    <t>tjoa.soenmotor@gmal.com</t>
  </si>
  <si>
    <t>DS/JATIM-42</t>
  </si>
  <si>
    <t>Jatim41</t>
  </si>
  <si>
    <t>SPEKTRO MOTOR</t>
  </si>
  <si>
    <t>Jl. Raya Jabon (Depan Terminal Mojokerto), Jabon, Mojoanyar</t>
  </si>
  <si>
    <t>Mojokerto</t>
  </si>
  <si>
    <t>0321 - 323649</t>
  </si>
  <si>
    <t>maslim.suhardi@gmail.com</t>
  </si>
  <si>
    <t>DS/JATIM-44</t>
  </si>
  <si>
    <t>Jatim44</t>
  </si>
  <si>
    <t>WIJAYA'S BARU</t>
  </si>
  <si>
    <t>Jl. Barata Jaya 19 No.2, Baratajaya, Gubeng</t>
  </si>
  <si>
    <t>031 - 5012214 / 5054426</t>
  </si>
  <si>
    <t>iesan8@yahoo.co.id</t>
  </si>
  <si>
    <t>DS/JATIM-45</t>
  </si>
  <si>
    <t>Jatim45</t>
  </si>
  <si>
    <t>CITRA TAMAN SEJAHTERA</t>
  </si>
  <si>
    <t>Jl. Raya Taman No.89, Taman, Sepanjang, Kec. Taman</t>
  </si>
  <si>
    <t>0812 3438 5445</t>
  </si>
  <si>
    <t>ctsban89@gmail.com</t>
  </si>
  <si>
    <t>DS/JATIM-46</t>
  </si>
  <si>
    <t>Jatim46</t>
  </si>
  <si>
    <t>GTL BAN MOJOROTO</t>
  </si>
  <si>
    <t>Jl. KH Ahmad Dahlan No.120A, Mojoroto</t>
  </si>
  <si>
    <t>0354 - 685107</t>
  </si>
  <si>
    <t>gtlbankediri@gmail.com</t>
  </si>
  <si>
    <t>DS/JATIM-48</t>
  </si>
  <si>
    <t>Jatim48</t>
  </si>
  <si>
    <t>CV. MAJU NGANJUK SEJAHTERA</t>
  </si>
  <si>
    <t>Jl. Panglima Sudirman Timur No.207, Mangundikaran, Kec. Nganjuk</t>
  </si>
  <si>
    <t>Nganjuk</t>
  </si>
  <si>
    <t>majunganjuksejahtera@gmail.com</t>
  </si>
  <si>
    <t>DS/JATIM-49</t>
  </si>
  <si>
    <t>Jatim9A</t>
  </si>
  <si>
    <t>PAP TYRE &amp; SERVICE</t>
  </si>
  <si>
    <t>Jl. Kartini No.50, Sidoklumpuk, Sidokumpul, Kec. Sidoarjo</t>
  </si>
  <si>
    <t>'0859-33100289</t>
  </si>
  <si>
    <t>putraanugerahperkasa@gmail.com</t>
  </si>
  <si>
    <t>DS/JATIM-50</t>
  </si>
  <si>
    <t>MASTER AUTO SHOP</t>
  </si>
  <si>
    <t>Jl. Raden Wijaya No.14, Kota Mojokerto, Jawa Timur 61321</t>
  </si>
  <si>
    <t>DS/KALBAR-02</t>
  </si>
  <si>
    <t>Kalbar3</t>
  </si>
  <si>
    <t>CV. MASA SAMA</t>
  </si>
  <si>
    <t>Jl. Prof. M. Yamin No.47 C-D, Sungai Bangkong, Pontianak Selatan</t>
  </si>
  <si>
    <t>Pontianak</t>
  </si>
  <si>
    <t>KALIMANTAN</t>
  </si>
  <si>
    <t>Kalimantan Barat</t>
  </si>
  <si>
    <t>0811 5709 593</t>
  </si>
  <si>
    <t>cvmasasama@gmail.com</t>
  </si>
  <si>
    <t>DS/KALBAR-03</t>
  </si>
  <si>
    <t>Kalbar4</t>
  </si>
  <si>
    <t>RODA MAKMUR</t>
  </si>
  <si>
    <t>Jl. Imam Bonjol No.8A Kel. Bansir Laut Kec. Pontianak Tenggara</t>
  </si>
  <si>
    <t>0561 - 761607 / 08</t>
  </si>
  <si>
    <t>atuan.rodamakmur@gmail.com</t>
  </si>
  <si>
    <t>DS/KALBAR-04</t>
  </si>
  <si>
    <t>Kalbar5</t>
  </si>
  <si>
    <t>SATELIT MITRA MOTOR</t>
  </si>
  <si>
    <t>Jl. Lintas Melawai Poros Tengah (Samping Masjid Al-Amin), Ladang, Sintang</t>
  </si>
  <si>
    <t>Sintang</t>
  </si>
  <si>
    <t>0565 - 24465 / 0812-5715125</t>
  </si>
  <si>
    <t>DS/KALBAR-05</t>
  </si>
  <si>
    <t>Kalbar6</t>
  </si>
  <si>
    <t>SUMBER RODA</t>
  </si>
  <si>
    <t>Jl. KH. Wahid Hasyim No.60, Tengah, Pontianak Kota</t>
  </si>
  <si>
    <t>0811 569 479</t>
  </si>
  <si>
    <t>DS/KALBAR-06</t>
  </si>
  <si>
    <t>Kalbar7</t>
  </si>
  <si>
    <t>Jl. Mayor Alianyang No.7 (deretan Suzuki), Kapur, Sungai Raya</t>
  </si>
  <si>
    <t>Kubu Raya</t>
  </si>
  <si>
    <t>0561 - 8180092</t>
  </si>
  <si>
    <t>trijayaban33@gmail.com</t>
  </si>
  <si>
    <t>DS/KALBAR-07</t>
  </si>
  <si>
    <t>Kalbar8</t>
  </si>
  <si>
    <t>PUTRA AUTO VARIASI</t>
  </si>
  <si>
    <t>Jl. Yohana Godang No. 7-8 Pasiran, Singkawang</t>
  </si>
  <si>
    <t>Singkawang</t>
  </si>
  <si>
    <t>DS/KALSEL-01</t>
  </si>
  <si>
    <t>Kalsel1</t>
  </si>
  <si>
    <t>MITRA CAKRAWALA INDOBAN</t>
  </si>
  <si>
    <t>Jl. A. Yani Km.8,7 No.38 RT14, Kel. Manarap Lama, Kec. Kertak Hanyar</t>
  </si>
  <si>
    <t>Banjarmasin</t>
  </si>
  <si>
    <t>Kalimantan Selatan</t>
  </si>
  <si>
    <t>0511 - 3260712</t>
  </si>
  <si>
    <t>mitracakrawala.indoban@gmail.com</t>
  </si>
  <si>
    <t>DS/KALSEL-02</t>
  </si>
  <si>
    <t>Kalsel3</t>
  </si>
  <si>
    <t>SAMPATTI BAN</t>
  </si>
  <si>
    <t>Jl. A. Yani Km.8 Rt,03 Kel. Manarap Lama, Kec. Kertak Hanyar</t>
  </si>
  <si>
    <t>0511 - 3201157</t>
  </si>
  <si>
    <t>sampattiban_bjm@yahoo.co.id</t>
  </si>
  <si>
    <t>DS/KALSEL-03</t>
  </si>
  <si>
    <t>Kalsel6</t>
  </si>
  <si>
    <t>SUKSES MANDIRI MOTOR</t>
  </si>
  <si>
    <t>Jl. Gatot Subroto No.20, Kuripan, Kec. Banjarmasin Timur</t>
  </si>
  <si>
    <t>DS/KALTENG-01</t>
  </si>
  <si>
    <t>Kalsel2</t>
  </si>
  <si>
    <t>REALITA BAN</t>
  </si>
  <si>
    <t>Jl. Tjilik Riwut No.278 , Kec. Mentawa Baru, Kab. Kotawaringin Timur</t>
  </si>
  <si>
    <t>Sampit</t>
  </si>
  <si>
    <t>Kalimantan Tengah</t>
  </si>
  <si>
    <t>0531 - 23627</t>
  </si>
  <si>
    <t>alwinisa.nya@gmail.com</t>
  </si>
  <si>
    <t>DS/KALTENG-02</t>
  </si>
  <si>
    <t>Kalsel4</t>
  </si>
  <si>
    <t>TEHNIK BAN</t>
  </si>
  <si>
    <t>Jl. Mahir Mahar Raya (Trans Kalimantan), Langkai, Pahandut</t>
  </si>
  <si>
    <t>Palangkaraya</t>
  </si>
  <si>
    <t>0811 520 340</t>
  </si>
  <si>
    <t>dedipatriansyah@yahoo.com</t>
  </si>
  <si>
    <t>DS/KALTENG-03</t>
  </si>
  <si>
    <t>Kalsel5</t>
  </si>
  <si>
    <t>TERMINAL BAN 2</t>
  </si>
  <si>
    <t>Jl. RTA . Milono Km.4,5, Menteng, Pahandut, Palangka Raya</t>
  </si>
  <si>
    <t>0536 - 3241523</t>
  </si>
  <si>
    <t>DS/KALTIM-03</t>
  </si>
  <si>
    <t>Kaltim3</t>
  </si>
  <si>
    <t>KILAT BAN</t>
  </si>
  <si>
    <t>Jl. Awang Long No.18, Bugis, Samarinda Kota</t>
  </si>
  <si>
    <t>Samarinda</t>
  </si>
  <si>
    <t>Kalimantan Timur</t>
  </si>
  <si>
    <t>0541 - 31157</t>
  </si>
  <si>
    <t>siti.juwairiyah@ymail.com</t>
  </si>
  <si>
    <t>DS/KALTIM-04</t>
  </si>
  <si>
    <t>Kaltim4</t>
  </si>
  <si>
    <t>RAPI BAN</t>
  </si>
  <si>
    <t>Jl. Ahmad Yani No.06, Api-Api, Bontang Baru</t>
  </si>
  <si>
    <t>Bontang</t>
  </si>
  <si>
    <t>0548 - 3035746</t>
  </si>
  <si>
    <t>DS/KALTIM-05</t>
  </si>
  <si>
    <t>Kaltim5</t>
  </si>
  <si>
    <t>REMAJA MOTOR</t>
  </si>
  <si>
    <t>Jl. I. A. Muis No.28 RT. 07, Sangkima, Sangatta Utara, Kutai Timur</t>
  </si>
  <si>
    <t>Sangata</t>
  </si>
  <si>
    <t>0549-22944/0811584228</t>
  </si>
  <si>
    <t>DS/KALTIM-06</t>
  </si>
  <si>
    <t>Kaltim6</t>
  </si>
  <si>
    <t>RODA BERKAH</t>
  </si>
  <si>
    <t>Jl. Mulawarman No.1, Teritip</t>
  </si>
  <si>
    <t>Balikpapan</t>
  </si>
  <si>
    <t>rodaberkah.bpn@gmail.com</t>
  </si>
  <si>
    <t>DS/KALTIM-07</t>
  </si>
  <si>
    <t>Kaltim8</t>
  </si>
  <si>
    <t>SINTA WINASRI PUTRI CIPTA</t>
  </si>
  <si>
    <t>Jl. Mayjend. Sutoyo No.48, Klandasan Ilir, Balikpapan Kota</t>
  </si>
  <si>
    <t>0542 - 419107, 419149</t>
  </si>
  <si>
    <t>DS/KALTIM-08</t>
  </si>
  <si>
    <t>Kaltim7</t>
  </si>
  <si>
    <t>SINTA WINASRI</t>
  </si>
  <si>
    <t>Jl. Imam Bonjol No.6, Pelabuhan, Samarinda Kota,75113</t>
  </si>
  <si>
    <t>0541 - 756975/76</t>
  </si>
  <si>
    <t>dunlopsmd@yahoo.co.id</t>
  </si>
  <si>
    <t>DS/KALTIM-10</t>
  </si>
  <si>
    <t>Kaltim4.A</t>
  </si>
  <si>
    <t>RAPI BAN 2</t>
  </si>
  <si>
    <t>Jl. Ir. H. Juanda No.4, Tanjung Laut, Bontang Selatan</t>
  </si>
  <si>
    <t>DS/KALUT-01</t>
  </si>
  <si>
    <t>Kaltim1</t>
  </si>
  <si>
    <t>ASAHI BAN</t>
  </si>
  <si>
    <t>Jl. Sengkawit RT.25 RW.08, Kel. Tj. Selor Hilir, Kec. Tj. Selor</t>
  </si>
  <si>
    <t>Bulungan</t>
  </si>
  <si>
    <t>Kalimantan Utara</t>
  </si>
  <si>
    <t>0852 4645 1866</t>
  </si>
  <si>
    <t>ud.asahi@gmail.com</t>
  </si>
  <si>
    <t>DS/LAMPUNG-01</t>
  </si>
  <si>
    <t>Lpg1</t>
  </si>
  <si>
    <t>MULTI KENCANA MAKMUR</t>
  </si>
  <si>
    <t>Jl. Laks. Malahayati No.86 ABC, Bumi Waras, Teluk Betung</t>
  </si>
  <si>
    <t>Teluk Betung</t>
  </si>
  <si>
    <t>Bandar Lampung</t>
  </si>
  <si>
    <t>Lampung</t>
  </si>
  <si>
    <t>0721 - 485653 / 482643</t>
  </si>
  <si>
    <t>DS/LAMPUNG-03</t>
  </si>
  <si>
    <t>Lpg3</t>
  </si>
  <si>
    <t>AUTO BAN CENTRE</t>
  </si>
  <si>
    <t>Jl. Raya Gadingrejo, Wonodadi, Kec. Gading Rejo</t>
  </si>
  <si>
    <t>Pringsewu</t>
  </si>
  <si>
    <t>DS/LAMPUNG-04</t>
  </si>
  <si>
    <t>Lpg4</t>
  </si>
  <si>
    <t>ANUGRAH MOTOR</t>
  </si>
  <si>
    <t>Jl. Lintas Timur Pasar Unit II, Tulang Bawang, Banjar Agung</t>
  </si>
  <si>
    <t>Tulang bawang</t>
  </si>
  <si>
    <t>08127929387</t>
  </si>
  <si>
    <t>DS/LAMPUNG-05</t>
  </si>
  <si>
    <t>ANUGRAH SENTOSA BAN</t>
  </si>
  <si>
    <t>Jl. Soekarno Hatta - Kalibalok , Kec. Sukabumi, Kota Bandar Lampung, Lampung 35122</t>
  </si>
  <si>
    <t>DS/MBUNGO-01</t>
  </si>
  <si>
    <t>SK.Mb1</t>
  </si>
  <si>
    <t>BINTANG ABADI</t>
  </si>
  <si>
    <t>Jl. Lintas Sumatera Km.04, Sungai Binjai, Batin III</t>
  </si>
  <si>
    <t>Muara Bungo</t>
  </si>
  <si>
    <t>0747 - 321448/ 085387848585</t>
  </si>
  <si>
    <t>cv.bintangabadi.ban@gmail.com</t>
  </si>
  <si>
    <t>DS/MBUNGO-02</t>
  </si>
  <si>
    <t>SK.Mb2</t>
  </si>
  <si>
    <t>Jl. Jendral Sudirman Km.01 No.750, Bungo Dani</t>
  </si>
  <si>
    <t>0747 - 22212</t>
  </si>
  <si>
    <t>sutankasim_bungo@yahoo.co.id</t>
  </si>
  <si>
    <t>DS/MBUNGO-03</t>
  </si>
  <si>
    <t>SK.Mb3</t>
  </si>
  <si>
    <t>TIGA BINTANG</t>
  </si>
  <si>
    <t>Jl. Lintas Sumatera, Bungo Barat, Ps. Muara Bungo, Kab. Bungo</t>
  </si>
  <si>
    <t>0747 - 22070 / 0823 7764 8080</t>
  </si>
  <si>
    <t>DS/MBUNGO-04</t>
  </si>
  <si>
    <t>PULAU RENGAS BAN</t>
  </si>
  <si>
    <t>Jl. Lintas Sumatera Sebrang Merangin, Dusun Bangko, Bangko, Merangin, Jambi</t>
  </si>
  <si>
    <t>Merangin</t>
  </si>
  <si>
    <t>DS/RIAU-01</t>
  </si>
  <si>
    <t>SK.Pkb1</t>
  </si>
  <si>
    <t>ANEKA BARU BAN</t>
  </si>
  <si>
    <t>Jl. Hangtuah No.94-96, Kel. Duri Barat, Kec. Mandau, Bengkalis</t>
  </si>
  <si>
    <t>Duri</t>
  </si>
  <si>
    <t>Riau</t>
  </si>
  <si>
    <t>0765 - 93933</t>
  </si>
  <si>
    <t>DS/RIAU-02</t>
  </si>
  <si>
    <t>SK.Pkb2</t>
  </si>
  <si>
    <t>A R D</t>
  </si>
  <si>
    <t>Jl. Harapan Raya No.391 A-D, Tengkerang Timur, Tenayan Raya</t>
  </si>
  <si>
    <t>Pekanbaru</t>
  </si>
  <si>
    <t>0761 - 7874848/081364229133(WA)</t>
  </si>
  <si>
    <t>DS/RIAU-03</t>
  </si>
  <si>
    <t>SK.Pkb4</t>
  </si>
  <si>
    <t>DALIMO JAYA MOTOR</t>
  </si>
  <si>
    <t>Jl. Soekarno-Hatta No.24-28, Sidomulyo Timur, Marpoyan Damai</t>
  </si>
  <si>
    <t>0811-7678-938</t>
  </si>
  <si>
    <t>DS/RIAU-04</t>
  </si>
  <si>
    <t>SK.Pkb6</t>
  </si>
  <si>
    <t>DELTA AUTO SERVICE</t>
  </si>
  <si>
    <t>Jl. Lintas Timur (Maharaja Indra), Pangkalan Kerinci Kota</t>
  </si>
  <si>
    <t>Pelalawan</t>
  </si>
  <si>
    <t>0761-5901998</t>
  </si>
  <si>
    <t>DS/RIAU-05</t>
  </si>
  <si>
    <t>SK.Pkb7</t>
  </si>
  <si>
    <t>DUNIA BAN</t>
  </si>
  <si>
    <t>Jl. Tuanku Tambusai No.390-391, Tengkerang Barat, Marpoyan Damai</t>
  </si>
  <si>
    <t>0761 - 848538</t>
  </si>
  <si>
    <t>dunia.ban.pku@gmail.com</t>
  </si>
  <si>
    <t>DS/RIAU-06</t>
  </si>
  <si>
    <t>SK.Pkb8</t>
  </si>
  <si>
    <t>HAMRA BAN 2</t>
  </si>
  <si>
    <t>Jl. KH. Ahmad Dahlan No.17, Kp. Tengah, Sukajadi</t>
  </si>
  <si>
    <t>0761 - 36338 / 082388512076</t>
  </si>
  <si>
    <t>DS/RIAU-07</t>
  </si>
  <si>
    <t>SK.Pkb9</t>
  </si>
  <si>
    <t>IDOLA BAN</t>
  </si>
  <si>
    <t>Jl. Jendral Sudirman No.145, Bagan Batu, Bagan Sinembah</t>
  </si>
  <si>
    <t>Rokan Hilir</t>
  </si>
  <si>
    <t>0812 688 7891</t>
  </si>
  <si>
    <t>DS/RIAU-08</t>
  </si>
  <si>
    <t>SK.Pkb10</t>
  </si>
  <si>
    <t>INDONAS BAN</t>
  </si>
  <si>
    <t>Jl. Tuanku Tambusai Komp. Puri Nangka Sari Blok A No.8-9, Tengkerang Barat, Marpoyan Damai</t>
  </si>
  <si>
    <t>0761 - 571875</t>
  </si>
  <si>
    <t>DS/RIAU-09</t>
  </si>
  <si>
    <t>SK.Pkb11</t>
  </si>
  <si>
    <t>GLOBAL BAN</t>
  </si>
  <si>
    <t>Jl. Soekarno Hatta Komp. Sentral Bisnis Blok A no.5-6 Pekanbaru, Tengkerang Barat, Marpoyan Damai</t>
  </si>
  <si>
    <t>0761 - 66385</t>
  </si>
  <si>
    <t>globalbanpku@gmail.com</t>
  </si>
  <si>
    <t>DS/RIAU-11</t>
  </si>
  <si>
    <t>SK.Pkb16</t>
  </si>
  <si>
    <t>PT. SUTAN KASIM Ltd.</t>
  </si>
  <si>
    <t>Jl. Jendral Sudirman No.27-29, Batang Serosa, Mandau, Bengkalis</t>
  </si>
  <si>
    <t>0762 - 322482</t>
  </si>
  <si>
    <t>sk.duri@yahoo.co.id</t>
  </si>
  <si>
    <t>DS/RIAU-12</t>
  </si>
  <si>
    <t>SK.Pkb14</t>
  </si>
  <si>
    <t>Jl. Soekarno-Hatta Kav. 140 (Arengka), Sidomulyo Timur, Marpoyan Damai</t>
  </si>
  <si>
    <t>0761 - 572544/572542</t>
  </si>
  <si>
    <t>akssano@yahoo.co.id</t>
  </si>
  <si>
    <t>DS/RIAU-13</t>
  </si>
  <si>
    <t>SK.Pkb12</t>
  </si>
  <si>
    <t>REMAJA BAN</t>
  </si>
  <si>
    <t>Jl. Jeruk No.59C, Rimba Sekampung, Dumai Kota</t>
  </si>
  <si>
    <t>Dumai</t>
  </si>
  <si>
    <t>0765 - 37195</t>
  </si>
  <si>
    <t>remajabandumai@gmail.com</t>
  </si>
  <si>
    <t>DS/RIAU-14</t>
  </si>
  <si>
    <t>SK.Pkb3</t>
  </si>
  <si>
    <t>RY AUTO SERVICE</t>
  </si>
  <si>
    <t>Jl. HR. Soebrantas No.4 A-D, Tuah Karya, Sidomulyo Barat, Tampan</t>
  </si>
  <si>
    <t>0761 - 66090</t>
  </si>
  <si>
    <t>DS/RIAU-15</t>
  </si>
  <si>
    <t>SK.Pkb13</t>
  </si>
  <si>
    <t>SURYA BAN</t>
  </si>
  <si>
    <t>Jl. SM Amin No.28, Simpang Baru, Tabak Gadang, Tampan</t>
  </si>
  <si>
    <t>0761 - 26435</t>
  </si>
  <si>
    <t>mitrah17@gmail.com</t>
  </si>
  <si>
    <t>DS/RIAU-16</t>
  </si>
  <si>
    <t>SK.Pkb5</t>
  </si>
  <si>
    <t>TOKO MODEL DELI JAYA</t>
  </si>
  <si>
    <t>Jl. Riau Komplek Riau Bisnis Center Blok A5-6, Air Hitam, Payung Sekaki</t>
  </si>
  <si>
    <t>0761 - 7687458 / 860841 / 860831</t>
  </si>
  <si>
    <t>DS/RIAU-17</t>
  </si>
  <si>
    <t>SK.Pkb17</t>
  </si>
  <si>
    <t>JILLI BAN</t>
  </si>
  <si>
    <t>Jl. Kamboja No.79 Dumai Kota, Kota Dumai</t>
  </si>
  <si>
    <t>085278123588</t>
  </si>
  <si>
    <t>DS/RIAU-18</t>
  </si>
  <si>
    <t>SK.Pkb18</t>
  </si>
  <si>
    <t>FAIZ RAJA BAN</t>
  </si>
  <si>
    <t>Jl. Hang Tuah, Babusalam, Kec. Mandau, Kab. Bengkalis, Riau 28784</t>
  </si>
  <si>
    <t>Bengkalis</t>
  </si>
  <si>
    <t>085271243575</t>
  </si>
  <si>
    <t>DS/SULSELGARA-01</t>
  </si>
  <si>
    <t>Sulsel1</t>
  </si>
  <si>
    <t>ALAM JAYA</t>
  </si>
  <si>
    <t>Jl. Persatuan Raya (Bhayangkara) No.80, Bongki, Sinjai Utara</t>
  </si>
  <si>
    <t>Sinjai</t>
  </si>
  <si>
    <t>SULAWESI</t>
  </si>
  <si>
    <t>Sulawesi Selatan</t>
  </si>
  <si>
    <t>0482 - 2425296</t>
  </si>
  <si>
    <t>rezhairwansyaha@gmail.com</t>
  </si>
  <si>
    <t>DS/SULSELGARA-02</t>
  </si>
  <si>
    <t>Sulsel3</t>
  </si>
  <si>
    <t>Jl. Poros Makassar-Maros Km.21 Ruko No.1, Marampa, Kec. Marusu</t>
  </si>
  <si>
    <t>Maros</t>
  </si>
  <si>
    <t>0411 - 551873</t>
  </si>
  <si>
    <t>DS/SULSELGARA-03</t>
  </si>
  <si>
    <t>Sulsel2</t>
  </si>
  <si>
    <t>GALLERY BAN (ANEKA BAN)</t>
  </si>
  <si>
    <t>Jl. Veteran Selatan No.119-121, Maricaya Sel, Kec. Mamajang 90222</t>
  </si>
  <si>
    <t>Makassar</t>
  </si>
  <si>
    <t>0411 - 854642 / 876666</t>
  </si>
  <si>
    <t>DS/SULSELGARA-05</t>
  </si>
  <si>
    <t>Sulsel9</t>
  </si>
  <si>
    <t>PACIFIC MOTOR</t>
  </si>
  <si>
    <t>Jl. Sultan Hasanuddin No.77/99, Kel. Pandang-pandang, Kec. Somba Opu</t>
  </si>
  <si>
    <t>Gowa</t>
  </si>
  <si>
    <t>0411 - 866952</t>
  </si>
  <si>
    <t>DS/SULSELGARA-06</t>
  </si>
  <si>
    <t>Sulsel4</t>
  </si>
  <si>
    <t>MAHAPUTRA CAB. ALAUDDIN</t>
  </si>
  <si>
    <t>Jl. S. Alauddin, Gunung Sari, Rappocini (Depan Perumahan Pelindo)</t>
  </si>
  <si>
    <t>0411 - 888877</t>
  </si>
  <si>
    <t>cphmks.alauddin@gmail.com</t>
  </si>
  <si>
    <t>DS/SULSELGARA-08</t>
  </si>
  <si>
    <t>Sulsel6</t>
  </si>
  <si>
    <t>MAHAPUTRA CAB. HERTASNING</t>
  </si>
  <si>
    <t>Jl. Aroeppala (Hertasning), Gn Sari, Kassi-Kassi, Rappocini</t>
  </si>
  <si>
    <t>support@catur.putraharmonis.com</t>
  </si>
  <si>
    <t>DS/SULSELGARA-10</t>
  </si>
  <si>
    <t>Sulsel11</t>
  </si>
  <si>
    <t>CITRA NUSA MOTOR</t>
  </si>
  <si>
    <t>Jl. Drs. H. Abd. Silondae No.64, Seputaran Mandonga</t>
  </si>
  <si>
    <t>Kendari</t>
  </si>
  <si>
    <t>Sulawesi Tenggara</t>
  </si>
  <si>
    <t>0401 - 3127233</t>
  </si>
  <si>
    <t>kdiana922@gmail.com</t>
  </si>
  <si>
    <t>DS/SULSELGARA-11</t>
  </si>
  <si>
    <t>Sulsel13</t>
  </si>
  <si>
    <t>RODA PERKASA MOTOR</t>
  </si>
  <si>
    <t>Jl. Laode Hadi (by pass) No.32, Kel.Bonggoeya, Kec.Wua-Wua</t>
  </si>
  <si>
    <t>0401 - 3190092</t>
  </si>
  <si>
    <t>rpm88kdi@gmail.com</t>
  </si>
  <si>
    <t>DS/SULSELGARA-12</t>
  </si>
  <si>
    <t>Sulsel14</t>
  </si>
  <si>
    <t>SINAR BUANA MOTOR</t>
  </si>
  <si>
    <t>Jl. Jend. A. Yani No.10C, Kel. Pondambea, Kec.Kadia</t>
  </si>
  <si>
    <t>0401 - 3126709</t>
  </si>
  <si>
    <t>wesleysetiawan1997@gmail.coming</t>
  </si>
  <si>
    <t>DS/SULSELGARA-13</t>
  </si>
  <si>
    <t>Sulsel12</t>
  </si>
  <si>
    <t>SUMBER JAYA</t>
  </si>
  <si>
    <t>Jl. Made Sabara No.08, Korumba, Mandonga</t>
  </si>
  <si>
    <t>0401 - 3000185</t>
  </si>
  <si>
    <t>DS/SULSELGARA-14</t>
  </si>
  <si>
    <t>Sulsel15</t>
  </si>
  <si>
    <t>DILMA JAYA</t>
  </si>
  <si>
    <t>Jl. Trans Sulawesi - Tomoni, Luwu Timur, Luwu Timur, Beringin Jaya</t>
  </si>
  <si>
    <t>Mangkutana</t>
  </si>
  <si>
    <t>081242648433</t>
  </si>
  <si>
    <t>illangdunlop@gmail.com</t>
  </si>
  <si>
    <t>DS/SULSELGARA-15</t>
  </si>
  <si>
    <t>Sulsel16</t>
  </si>
  <si>
    <t>SUMBER MAS BAN</t>
  </si>
  <si>
    <t>Jl. Bandang No.263, Parang Layang, Bontoala</t>
  </si>
  <si>
    <t>0811-266251</t>
  </si>
  <si>
    <t>DS/SULSELGARA-17</t>
  </si>
  <si>
    <t>Sulsel18</t>
  </si>
  <si>
    <t>HAKIM PUTRA MOTOR</t>
  </si>
  <si>
    <t>Jl. Poros Amparita, Lautang Benteng, Kec. Maritengngae, Kabupaten Sidenreng Rappang, Sulawesi Selatan 91611</t>
  </si>
  <si>
    <t>Sidrap</t>
  </si>
  <si>
    <t>DS/SULUTENG-01</t>
  </si>
  <si>
    <t>Sulut8</t>
  </si>
  <si>
    <t>ROLEN JAYA BAN</t>
  </si>
  <si>
    <t>Jl. RE Martadinata, Tondo, Kec. Palu Timur</t>
  </si>
  <si>
    <t>Palu</t>
  </si>
  <si>
    <t>Sulawesi Tengah</t>
  </si>
  <si>
    <t>0852 4118 8208</t>
  </si>
  <si>
    <t>wahyunikasim07@gmail.com</t>
  </si>
  <si>
    <t>DS/SULUTENG-03</t>
  </si>
  <si>
    <t>Sulut1</t>
  </si>
  <si>
    <t>ABADI MOTOR</t>
  </si>
  <si>
    <t>Jl. Raya Manado - Bitung, Sarongsong I, Airmadidi</t>
  </si>
  <si>
    <t>Minahasa Utara</t>
  </si>
  <si>
    <t>Sulawesi Utara</t>
  </si>
  <si>
    <t>0431 - 891082</t>
  </si>
  <si>
    <t>DS/SULUTENG-04</t>
  </si>
  <si>
    <t>Sulut2</t>
  </si>
  <si>
    <t>PT. HASJRAT ABADI</t>
  </si>
  <si>
    <t>Jl. Kol. Soegiono No.29, Pinaesaan, Maramba</t>
  </si>
  <si>
    <t>Manado</t>
  </si>
  <si>
    <t>0431 - 868617</t>
  </si>
  <si>
    <t>DS/SULUTENG-05</t>
  </si>
  <si>
    <t>Sulut3</t>
  </si>
  <si>
    <t>KENCANA ABADI</t>
  </si>
  <si>
    <t>Jl. Wolter Monginsidi No.83 , Malalayang I Timur, Link. 7, Malalayang</t>
  </si>
  <si>
    <t>0431 - 7282478 / 0811436544</t>
  </si>
  <si>
    <t>gatottjandra1@gmail.com</t>
  </si>
  <si>
    <t>DS/SULUTENG-06</t>
  </si>
  <si>
    <t>Sulut5</t>
  </si>
  <si>
    <t>LONDON MOTOR</t>
  </si>
  <si>
    <t>Jl. Raya Sineleyen, Minahasa, Talete Satu, Tomohon Tengah</t>
  </si>
  <si>
    <t>Tomohon</t>
  </si>
  <si>
    <t>0431 - 3157457</t>
  </si>
  <si>
    <t>londonmotor18@gmail.com</t>
  </si>
  <si>
    <t>DS/GORONTALO-01</t>
  </si>
  <si>
    <t>VIVANVIO</t>
  </si>
  <si>
    <t>Jl. Joesoep Dalie No.148, Kel. Liluwo, Kec. Kota Tengah</t>
  </si>
  <si>
    <t>Gorontalo</t>
  </si>
  <si>
    <t>'085256496005</t>
  </si>
  <si>
    <t>DS/SUMBAR-02</t>
  </si>
  <si>
    <t>Sumbar3</t>
  </si>
  <si>
    <t>BERLIAN JAYA</t>
  </si>
  <si>
    <t>Jl. S. Parman No.141 ABC, Ulak Karang, Padang Utara</t>
  </si>
  <si>
    <t>Padang</t>
  </si>
  <si>
    <t>Sumatera Barat</t>
  </si>
  <si>
    <t>0751 - 446954/081374087000/082293761258</t>
  </si>
  <si>
    <t>berlian.jayaban@yahoo.co.id</t>
  </si>
  <si>
    <t>DS/SUMBAR-03</t>
  </si>
  <si>
    <t>Sumbar4</t>
  </si>
  <si>
    <t>C M MOTOR</t>
  </si>
  <si>
    <t xml:space="preserve">Jl. Lintas Padang Panjang - Bukit Tinggi Km.01 No.86, Panyalaian , X Koto , Kab. Tanah Datar </t>
  </si>
  <si>
    <t>Bukittinggi</t>
  </si>
  <si>
    <t>0752 - 82860</t>
  </si>
  <si>
    <t>ridhofalpyjohan@gmail.com</t>
  </si>
  <si>
    <t>DS/SUMBAR-04</t>
  </si>
  <si>
    <t>Sumbar5</t>
  </si>
  <si>
    <t>D'NIJY MOTOR</t>
  </si>
  <si>
    <t>Jl. Padang - Muko-Muko, Ampang Tulak Tapan, Basa Ampek Balai Tapan, Pesisir Selatan</t>
  </si>
  <si>
    <t>Pesisir Selatan</t>
  </si>
  <si>
    <t>0812-6786842</t>
  </si>
  <si>
    <t>noveridinata@gmail.com</t>
  </si>
  <si>
    <t>DS/SUMBAR-05</t>
  </si>
  <si>
    <t>Sumbar6</t>
  </si>
  <si>
    <t>Jl. Soekarno Hatta No.5, Manggis Ganting, Mandiangin Koto Selayan</t>
  </si>
  <si>
    <t>0752 - 644579 / 626555</t>
  </si>
  <si>
    <t>DS/SUMBAR-06</t>
  </si>
  <si>
    <t>Sumbar7</t>
  </si>
  <si>
    <t>FRANS MADANI MOTOR</t>
  </si>
  <si>
    <t>Jl. Raya Padang-S. Penuh, Kp. Karang Tangah, Kel. Lakitan, Kec. Lengayang</t>
  </si>
  <si>
    <t>0757-40329/081363387382</t>
  </si>
  <si>
    <t>DS/SUMBAR-07</t>
  </si>
  <si>
    <t>Sumbar8</t>
  </si>
  <si>
    <t>GRAND LS MOTOR</t>
  </si>
  <si>
    <t>Jl. A. Yani No.1/2, Kel. Guguk Malintang, Padang Panjang</t>
  </si>
  <si>
    <t>Padang Panjang</t>
  </si>
  <si>
    <t>0812 676 3648</t>
  </si>
  <si>
    <t>ronald.anperta@icloud.com</t>
  </si>
  <si>
    <t>DS/SUMBAR-08</t>
  </si>
  <si>
    <t>Sumbar1</t>
  </si>
  <si>
    <t>ANGKASA BAN &amp; OLI</t>
  </si>
  <si>
    <t>Jl. Tan Malaka No.137 ABCD, Tarok, Payakumbuh Utara</t>
  </si>
  <si>
    <t>Payakumbuh</t>
  </si>
  <si>
    <t>0752 - 93873</t>
  </si>
  <si>
    <t>DS/SUMBAR-09</t>
  </si>
  <si>
    <t>Sumbar9</t>
  </si>
  <si>
    <t>KURNIA JASA</t>
  </si>
  <si>
    <t>Jl. Belakang Olo No.48E, Kel. Olo, Kec. Padang Barat</t>
  </si>
  <si>
    <t>0751 - 32064 / 085274111991</t>
  </si>
  <si>
    <t>kurniajasa989@gmail.com</t>
  </si>
  <si>
    <t>DS/SUMBAR-10</t>
  </si>
  <si>
    <t>Sumbar11</t>
  </si>
  <si>
    <t>MORIS MOTOR</t>
  </si>
  <si>
    <t>Jl. Veteran No.20, Purus, Padang Barat</t>
  </si>
  <si>
    <t>0751 - 28789</t>
  </si>
  <si>
    <t>morismotor@gmail.com</t>
  </si>
  <si>
    <t>DS/SUMBAR-11</t>
  </si>
  <si>
    <t>Sumbar10</t>
  </si>
  <si>
    <t>MORISSON KARYA PERKASA</t>
  </si>
  <si>
    <t>Jl. Bandar Purus No.56 , Padang Pasir, Padang Barat</t>
  </si>
  <si>
    <t>0751 - 20439</t>
  </si>
  <si>
    <t>morissonkaryaperkasa@gmail.com</t>
  </si>
  <si>
    <t>DS/SUMBAR-12</t>
  </si>
  <si>
    <t>Sumbar14</t>
  </si>
  <si>
    <t>NST</t>
  </si>
  <si>
    <t>Jl. Raya Padang - Bukittinggi Km.21, Kasang, Batang Anai</t>
  </si>
  <si>
    <t>Padang Pariaman</t>
  </si>
  <si>
    <t>0751 - 480354 / 0811665060</t>
  </si>
  <si>
    <t>nasutionrahmat13@gmail.com</t>
  </si>
  <si>
    <t>DS/SUMBAR-13</t>
  </si>
  <si>
    <t>Sumbar13</t>
  </si>
  <si>
    <t>NASUTION BAN</t>
  </si>
  <si>
    <t>Jl. By Pass Km.19 Tj. Aur (Samping SPBU), Balai Gadang, Koto Tangah</t>
  </si>
  <si>
    <t>0751 - 480354 / 081242979811 / 081277505796</t>
  </si>
  <si>
    <t>nasutionban35@gmail.com</t>
  </si>
  <si>
    <t>DS/SUMBAR-14</t>
  </si>
  <si>
    <t>Sumbar12</t>
  </si>
  <si>
    <t>NEW LS MOTOR</t>
  </si>
  <si>
    <t>Jl. Jendral Sudirman - Simpang Kiambang, Limo Kaum, Tanah Datar</t>
  </si>
  <si>
    <t>Batusangkar</t>
  </si>
  <si>
    <t>0752 - 71316 /  08126763648</t>
  </si>
  <si>
    <t>DS/SUMBAR-15</t>
  </si>
  <si>
    <t>Sumbar15</t>
  </si>
  <si>
    <t>PERDANA BAN</t>
  </si>
  <si>
    <t>Jl. By Pass ST, Pamuncak, Lubuk Sikarah</t>
  </si>
  <si>
    <t>Solok</t>
  </si>
  <si>
    <t>0812 6757 3193</t>
  </si>
  <si>
    <t>DS/SUMBAR-16</t>
  </si>
  <si>
    <t>Sumbar16</t>
  </si>
  <si>
    <t>PERDANA MOTOR</t>
  </si>
  <si>
    <t>Jl. By Pass Gulai Bancah Km.3, Kubu Gulai Bancah, Mandiangin Koto Selayan</t>
  </si>
  <si>
    <t>0752 - 7020651 / 085272986776</t>
  </si>
  <si>
    <t>DS/SUMBAR-18</t>
  </si>
  <si>
    <t>Sumbar20</t>
  </si>
  <si>
    <t>Jl. Veteran No.14 A, Purus, Padang Barat</t>
  </si>
  <si>
    <t>0751 - 31166 / 0751 - 32906</t>
  </si>
  <si>
    <t>sutankasim.pdg01@yahoo.co.id</t>
  </si>
  <si>
    <t>DS/SUMBAR-20</t>
  </si>
  <si>
    <t>Sumbar18</t>
  </si>
  <si>
    <t>SAUDARA BAN</t>
  </si>
  <si>
    <t>Jl. M. Yamin, Pasar Raya Barat Blok D1 No.3&amp;4, Kampung Jao, Padang Barat</t>
  </si>
  <si>
    <t>0751 - 83191 / 0821-7037-9717</t>
  </si>
  <si>
    <t>DS/SUMBAR-21</t>
  </si>
  <si>
    <t>Sumbar19</t>
  </si>
  <si>
    <t>SINAR JAYA BAN</t>
  </si>
  <si>
    <t>Jl. Tan Malaka Km.12, Guguak VIII Koto, Kec. Guguak</t>
  </si>
  <si>
    <t>Lima Puluh Kota</t>
  </si>
  <si>
    <t>0812 6752 549</t>
  </si>
  <si>
    <t>ronaldsaputra58@gmail.com</t>
  </si>
  <si>
    <t>DS/SUMBAR-22</t>
  </si>
  <si>
    <t>Sumbar22</t>
  </si>
  <si>
    <t>TIGA JAYA BAN</t>
  </si>
  <si>
    <t>Jl. Lintas Siti Mangopoh Simpang Empat (Jl. Sudirman), Pasaman Barat</t>
  </si>
  <si>
    <t>Pasaman</t>
  </si>
  <si>
    <t>0812 660 1511 / 085274111991</t>
  </si>
  <si>
    <t>DS/SUMBAR-23</t>
  </si>
  <si>
    <t>Sumbar23</t>
  </si>
  <si>
    <t>WIRA PRATAMA 97</t>
  </si>
  <si>
    <t>Jl. By Pass Bonjo Baru Km.3 No.2 (Belakang Pasar Aur Kuning), Tarok Dipo, Guguk Panjang</t>
  </si>
  <si>
    <t>0752 - 23304</t>
  </si>
  <si>
    <t>DS/SUMBAR-24</t>
  </si>
  <si>
    <t>Sumbar24</t>
  </si>
  <si>
    <t>HANUM MOTOR</t>
  </si>
  <si>
    <t>Jl. Lintau - Payakumbuh Km.6, Batang Tabik, Kec. Luak, Kab. Lima Puluh Kota</t>
  </si>
  <si>
    <t>081363521718</t>
  </si>
  <si>
    <t>DS/SUMSEL-01</t>
  </si>
  <si>
    <t>Sumsel1</t>
  </si>
  <si>
    <t>GRAHA MOTOR</t>
  </si>
  <si>
    <t>Jl. Mayor Ruslan II No.20-21, Kel. Pasar Baru, Kec. Lahat, Kab. Lahat</t>
  </si>
  <si>
    <t>Lahat</t>
  </si>
  <si>
    <t>Sumatera Selatan</t>
  </si>
  <si>
    <t>0731 - 324099</t>
  </si>
  <si>
    <t>chandra.felicia@gmail.com</t>
  </si>
  <si>
    <t>DS/SUMSEL-02</t>
  </si>
  <si>
    <t>Sumsel4</t>
  </si>
  <si>
    <t>MANDALA JAYA</t>
  </si>
  <si>
    <t>Jl. R. Sukamto No.23, Ilir Timur II</t>
  </si>
  <si>
    <t>Palembang</t>
  </si>
  <si>
    <t>0711 - 825571</t>
  </si>
  <si>
    <t>DS/SUMSEL-03</t>
  </si>
  <si>
    <t>Sumsel3</t>
  </si>
  <si>
    <t>Jl. Veteran No.495, Ilir Timur I</t>
  </si>
  <si>
    <t>0711 - 351960</t>
  </si>
  <si>
    <t>yohanli1984@gmail.com</t>
  </si>
  <si>
    <t>DS/SUMSEL-04</t>
  </si>
  <si>
    <t>Sumsel5</t>
  </si>
  <si>
    <t>MANDALA RAYA BAN</t>
  </si>
  <si>
    <t>Jl. Veteran No.202, Ilir Timur I</t>
  </si>
  <si>
    <t>0711 - 354489</t>
  </si>
  <si>
    <t>yohanli_s@yahoo.com</t>
  </si>
  <si>
    <t>DS/SUMSEL-05</t>
  </si>
  <si>
    <t>Sumsel6</t>
  </si>
  <si>
    <t>SUMBER AGUNG JAYA</t>
  </si>
  <si>
    <t>Jl. H.M Noerdin Panji, Kukamaju, Sako</t>
  </si>
  <si>
    <t>0813 6830 0574</t>
  </si>
  <si>
    <t>DS/SUMSEL-06</t>
  </si>
  <si>
    <t>Sumsel7</t>
  </si>
  <si>
    <t>SUMBER AGUNG PUTRA</t>
  </si>
  <si>
    <t>Jl. Sido Makmur, Kutosari, Kec. Belitang III, Kab.Oku Timur</t>
  </si>
  <si>
    <t>Belitang</t>
  </si>
  <si>
    <t>DS/SUMSEL-07</t>
  </si>
  <si>
    <t>Sumsel8</t>
  </si>
  <si>
    <t>SUMBER AGUNG PUTRI</t>
  </si>
  <si>
    <t>Jl. Palembang-Betung Km.14, Sukamoro, Talang Klp.</t>
  </si>
  <si>
    <t>Banyuasin</t>
  </si>
  <si>
    <t>0711 - 824880 / 8831149</t>
  </si>
  <si>
    <t>DS/SUMSEL-08</t>
  </si>
  <si>
    <t>Sumsel9</t>
  </si>
  <si>
    <t>DITATEG BAN</t>
  </si>
  <si>
    <t>Jl. Pasar Tugumulyo Lintas Timur, Kec. Lempuing Oki</t>
  </si>
  <si>
    <t>Tugumulyo</t>
  </si>
  <si>
    <t>0853-82784670</t>
  </si>
  <si>
    <t>DS/SUMSEL-09</t>
  </si>
  <si>
    <t>Sumsel10</t>
  </si>
  <si>
    <t>UNION JAYA MAXINDO</t>
  </si>
  <si>
    <t>Jl. R Sukamto No.50, Ilir D II, Kemuning</t>
  </si>
  <si>
    <t>'0711-322011</t>
  </si>
  <si>
    <t>maxxis.ayani@gmail.com</t>
  </si>
  <si>
    <t>DS/SUMSEL-10</t>
  </si>
  <si>
    <t>Sumsel11</t>
  </si>
  <si>
    <t>NEO PM</t>
  </si>
  <si>
    <t>Jl. Bridg. Hasan Kasim No1-3, Bukit Sangkal, Kalidoni</t>
  </si>
  <si>
    <t>0853-51199991</t>
  </si>
  <si>
    <t>cvpurwosarimotor@gmail.com</t>
  </si>
  <si>
    <t>DS/SUMSEL-11</t>
  </si>
  <si>
    <t>Sumsel12</t>
  </si>
  <si>
    <t>INDO BAN</t>
  </si>
  <si>
    <t>Jl. DI Panjaitan No.10 Bagus Kuning, Kec. Plaju</t>
  </si>
  <si>
    <t>0811788633/0811788990</t>
  </si>
  <si>
    <t>DS/SUMSEL-12</t>
  </si>
  <si>
    <t>Sumsel13</t>
  </si>
  <si>
    <t>UNION JAYA BAN</t>
  </si>
  <si>
    <t>JL. Perinits Kemerdekaan No.30-31, Kuto Batu, Kec. Ilir Tim. II, Kota Palembang</t>
  </si>
  <si>
    <t>0711 - 712738</t>
  </si>
  <si>
    <t>DS/SUMUT-01</t>
  </si>
  <si>
    <t>Sumut1</t>
  </si>
  <si>
    <t>BANINDO PERKASA</t>
  </si>
  <si>
    <t>Jl. H. Adam Malik (Glugur by pass) No.100, Kel. Silalas, Kec. Medan Barat</t>
  </si>
  <si>
    <t>Medan</t>
  </si>
  <si>
    <t>Sumatera Utara</t>
  </si>
  <si>
    <t>061 - 6618017</t>
  </si>
  <si>
    <t>banindoperkasa@yahoo.co.id</t>
  </si>
  <si>
    <t>DS/SUMUT-02</t>
  </si>
  <si>
    <t>Sumut2</t>
  </si>
  <si>
    <t>BANSINDO 88</t>
  </si>
  <si>
    <t>Jl. Sisingamangaraja IIX No.48 B-C (Samping Hotel Semarak), Teladan Barat</t>
  </si>
  <si>
    <t>061 - 7362486 / 77822210 / 77685808</t>
  </si>
  <si>
    <t>bansindo139@gmail.com</t>
  </si>
  <si>
    <t>DS/SUMUT-03</t>
  </si>
  <si>
    <t>Sumut4</t>
  </si>
  <si>
    <t>BERJAYA BAN</t>
  </si>
  <si>
    <t>Jl. Dr. Wahidin No.95 G-H-I, Pandau Hulu II, Medan Area</t>
  </si>
  <si>
    <t>061 - 4516816</t>
  </si>
  <si>
    <t>hendryanthejayamuni@gmail.com</t>
  </si>
  <si>
    <t>DS/SUMUT-04</t>
  </si>
  <si>
    <t>Sumut5</t>
  </si>
  <si>
    <t>BINTANG BAN</t>
  </si>
  <si>
    <t>Jl. Jendral Gatot Subroto LK. IV No.150, Sei Sikambing, Medan Helvetia</t>
  </si>
  <si>
    <t>061 - 8468805</t>
  </si>
  <si>
    <t>soewandi_angkasa@yahoo.com</t>
  </si>
  <si>
    <t>DS/SUMUT-05</t>
  </si>
  <si>
    <t>Sumut6</t>
  </si>
  <si>
    <t>DELI SERVICE</t>
  </si>
  <si>
    <t>Jl. A. Yani No.89B, Binjai Kota</t>
  </si>
  <si>
    <t>Binjai</t>
  </si>
  <si>
    <t>061 - 8828625</t>
  </si>
  <si>
    <t>awi.deli.service@gmail.com</t>
  </si>
  <si>
    <t>DS/SUMUT-06</t>
  </si>
  <si>
    <t>Sumut7</t>
  </si>
  <si>
    <t>DOLPHIN</t>
  </si>
  <si>
    <t>Jl. Sutoyo Siswomiharjo No.45-47, Pasar Baru, Sibolga Kota</t>
  </si>
  <si>
    <t>Sibolga</t>
  </si>
  <si>
    <t>0631-21331 / 08116145467</t>
  </si>
  <si>
    <t>dolphindoorsmeer@gmail.com</t>
  </si>
  <si>
    <t>DS/SUMUT-08</t>
  </si>
  <si>
    <t>Sumut9</t>
  </si>
  <si>
    <t>MAKMUR JAYA BAN</t>
  </si>
  <si>
    <t>Jl. Setia Budi No.185 A, Tg. Rejo, Medan Sunggal</t>
  </si>
  <si>
    <t>061 - 8200431</t>
  </si>
  <si>
    <t>makmurjayaban_medan185@yahoo.co.id</t>
  </si>
  <si>
    <t>DS/SUMUT-09</t>
  </si>
  <si>
    <t>Sumut10</t>
  </si>
  <si>
    <t>RADIF OTOMOTIF</t>
  </si>
  <si>
    <t>Jl. Kapt. Muslim (Komp. Millenium Square Ruko No.6), Helvetia Timur, Medan Helvetia</t>
  </si>
  <si>
    <t>061 - 4528196</t>
  </si>
  <si>
    <t>radifotomotif@gmail.com</t>
  </si>
  <si>
    <t>DS/SUMUT-10</t>
  </si>
  <si>
    <t>Sumut11</t>
  </si>
  <si>
    <t>PANGERAN BAN</t>
  </si>
  <si>
    <t>Jl. Letjend S. Parman No.91, Petisah Tengah, Medan Petisah</t>
  </si>
  <si>
    <t>061 - 4528196 / 4528193</t>
  </si>
  <si>
    <t>vavansutanto.vs@gmail.com</t>
  </si>
  <si>
    <t>DS/SUMUT-11</t>
  </si>
  <si>
    <t>Sumut12</t>
  </si>
  <si>
    <t>PERMAISURI BAN</t>
  </si>
  <si>
    <t>Jl. Stasiun Kereta Api No.1C-1D, Kesawan, Medan Barat</t>
  </si>
  <si>
    <t>061 - 4536894</t>
  </si>
  <si>
    <t>permaisuriban@ymail.com</t>
  </si>
  <si>
    <t>DS/SUMUT-12</t>
  </si>
  <si>
    <t>Sumut3</t>
  </si>
  <si>
    <t>PERSAUDARAAN JUANDA BAN</t>
  </si>
  <si>
    <t>Jl. IR. H. Juanda Baru No.83/85, Kel. Mesjid, Kec. Medan Kota</t>
  </si>
  <si>
    <t>061 - 7355975</t>
  </si>
  <si>
    <t>hartono.thomas83@gmail.com</t>
  </si>
  <si>
    <t>DS/SUMUT-13</t>
  </si>
  <si>
    <t>Sumut13</t>
  </si>
  <si>
    <t>SAID BAN</t>
  </si>
  <si>
    <t>Jl. Jendral Ahmad Yani No.123, Rantauprapat</t>
  </si>
  <si>
    <t>Labuhanbatu</t>
  </si>
  <si>
    <t>0624 - 24718</t>
  </si>
  <si>
    <t>DS/SUMUT-14</t>
  </si>
  <si>
    <t>Sumut14</t>
  </si>
  <si>
    <t>Ruko Medan Bisnis Center, Jl. Gagak Hitam No.1A, Tg. Rejo, Medan Sunggal</t>
  </si>
  <si>
    <t>061 - 8447388</t>
  </si>
  <si>
    <t>sampattiban@yahoo.co.id</t>
  </si>
  <si>
    <t>DS/SUMUT-15</t>
  </si>
  <si>
    <t>Sumut15</t>
  </si>
  <si>
    <t>SENTRA BAN</t>
  </si>
  <si>
    <t>Jl. Jendral A. Yani No.55-57, Pardomuan, Siantar Timur</t>
  </si>
  <si>
    <t>Pematang Siantar</t>
  </si>
  <si>
    <t>0622 - 433700</t>
  </si>
  <si>
    <t>yaw2007@hotmail.com</t>
  </si>
  <si>
    <t>DS/SUMUT-16</t>
  </si>
  <si>
    <t>Sumut16</t>
  </si>
  <si>
    <t>STASIUN SERVICE</t>
  </si>
  <si>
    <t>Jl. Stasiun Kereta Api No.2-4, Kel. Kesawan, Kec. Medan Barat</t>
  </si>
  <si>
    <t>061 - 4518305</t>
  </si>
  <si>
    <t>ivan.susanto3445@gmail.com</t>
  </si>
  <si>
    <t>DS/SUMUT-17</t>
  </si>
  <si>
    <t>Sumut17</t>
  </si>
  <si>
    <t>SURIA BAN</t>
  </si>
  <si>
    <t>Jl. Timor No.21-C, Perintis, Medan Timur</t>
  </si>
  <si>
    <t>061 - 6611235 / 4532123</t>
  </si>
  <si>
    <t>cv.suriaban@gmail.com</t>
  </si>
  <si>
    <t>DS/SUMUT-18</t>
  </si>
  <si>
    <t>Sumut18</t>
  </si>
  <si>
    <t>21 BAN</t>
  </si>
  <si>
    <t>Jl. Pasar III LK.X No.18-20 Ring Road, Medan Selayang</t>
  </si>
  <si>
    <t>061-77115303</t>
  </si>
  <si>
    <t>21ban.ringroad@gmail.com</t>
  </si>
  <si>
    <t>DS/SUMUT-19</t>
  </si>
  <si>
    <t>Sumut19</t>
  </si>
  <si>
    <t>PANGERAN AUTO SERVICE</t>
  </si>
  <si>
    <t>Jl. Bayangkara No.492, Indra kasih, Medan Tembung</t>
  </si>
  <si>
    <t>0811-609825</t>
  </si>
  <si>
    <t>pangeranautoservice@gmail.com</t>
  </si>
  <si>
    <t>DS/SUMUT-20</t>
  </si>
  <si>
    <t>Sumut20</t>
  </si>
  <si>
    <t>CITRA MANDIRI BAN</t>
  </si>
  <si>
    <t>Jl. Gatot Subroto No.453, Sei Sikambing D, Medan Petisah</t>
  </si>
  <si>
    <t>061-4571985</t>
  </si>
  <si>
    <t>susantowijaya1818@gmail.com</t>
  </si>
  <si>
    <t>DS/SUMUT-21</t>
  </si>
  <si>
    <t>Sumut21</t>
  </si>
  <si>
    <t>ESTER BAN</t>
  </si>
  <si>
    <t>Jl. Menteng VII (Seberang Poltek Kimia Industri), Medan Tenggara, Medan Denai</t>
  </si>
  <si>
    <t>DS/SUMUT-22</t>
  </si>
  <si>
    <t>Sumbar25</t>
  </si>
  <si>
    <t>ISM BAN</t>
  </si>
  <si>
    <t>Jl. Willem Iskandar - Aek Galoga, Panyabungan</t>
  </si>
  <si>
    <t>Mandailing Natal</t>
  </si>
  <si>
    <t>DS/SUMUT-23</t>
  </si>
  <si>
    <t>HIRO TIRE</t>
  </si>
  <si>
    <t>Jl. Krakatau Ujung No.381 C, Pulau Brayan Bengkel, Kec. Medan Tim, Kota Medan, Sumatera Utara 20241</t>
  </si>
  <si>
    <t>PRO</t>
  </si>
  <si>
    <t>PRO/BABEL-01</t>
  </si>
  <si>
    <t>Babel4</t>
  </si>
  <si>
    <t>Jl. Depati Hamzah Kolong Ijau, Bacang, Bukit Intan</t>
  </si>
  <si>
    <t>0717 - 9113344</t>
  </si>
  <si>
    <t>PRO/BALI-01</t>
  </si>
  <si>
    <t>Bali14</t>
  </si>
  <si>
    <t>Jl. Imam Bonjol No.587, Pemecutan Klod, Denpasar Barat</t>
  </si>
  <si>
    <t xml:space="preserve">0361 - </t>
  </si>
  <si>
    <t>PRO/BALI-02</t>
  </si>
  <si>
    <t>Bali16</t>
  </si>
  <si>
    <t>Jl. Sun Set Road Timur No.6, Kuta</t>
  </si>
  <si>
    <t>Badung</t>
  </si>
  <si>
    <t>0361 4754471/  081236337696 (WA)</t>
  </si>
  <si>
    <t>PRO/JABAR-01</t>
  </si>
  <si>
    <t>Jabar27</t>
  </si>
  <si>
    <t>SEJAHTERA TYRE CENTER</t>
  </si>
  <si>
    <t>Jl. Dr. Cipto No.38, Pasir Kaliki, Cicendo</t>
  </si>
  <si>
    <t>022 - 4235814 / 4266578</t>
  </si>
  <si>
    <t>sejahtera3838@gmail.com</t>
  </si>
  <si>
    <t>PRO/JABO-02</t>
  </si>
  <si>
    <t>Jabo38</t>
  </si>
  <si>
    <t>MPN KHARISMA</t>
  </si>
  <si>
    <t>Jl. Sultan Iskandar Muda No.28 Arteri Pondok Indah, Kebayoran Lama</t>
  </si>
  <si>
    <t>Jakarta Selatan</t>
  </si>
  <si>
    <t>021 - 72895627</t>
  </si>
  <si>
    <t>proshop.pondokindah28@gmail.com</t>
  </si>
  <si>
    <t>PRO/JABO-03</t>
  </si>
  <si>
    <t>Jabo25</t>
  </si>
  <si>
    <t>Jl. Raya Serpong Km.7. No.35-36, Panunggangan, Pinang</t>
  </si>
  <si>
    <t>021 - 53127273 / 53127829</t>
  </si>
  <si>
    <t>kmaserpong@gmail.com</t>
  </si>
  <si>
    <t>PRO/JATIM-01</t>
  </si>
  <si>
    <t>Jatim5A</t>
  </si>
  <si>
    <t>Rungkut Asri Timur 36-38 (YKP RK 4/F19), Rungkut Kidul, Rungkut</t>
  </si>
  <si>
    <t>031 - 8785 4867</t>
  </si>
  <si>
    <t>PRO/KALBAR-02</t>
  </si>
  <si>
    <t>Kalbar2A</t>
  </si>
  <si>
    <t>KHARISMA</t>
  </si>
  <si>
    <t>Jl. Arteri Supadio No.33A (Depan Transmart), Kubu Raya</t>
  </si>
  <si>
    <t>0812 5740 172</t>
  </si>
  <si>
    <t>proshop.ptk33@gmail.com</t>
  </si>
  <si>
    <t>PRO/SULSELGARA-01</t>
  </si>
  <si>
    <t>Sulsel7</t>
  </si>
  <si>
    <t>MAHAPUTRA CAB. BANDANG</t>
  </si>
  <si>
    <t>Jl. Bandang No.33, Parang Layang, Bontoala Tua</t>
  </si>
  <si>
    <t>0411 - 315043</t>
  </si>
  <si>
    <t>cph.bandang@catur-putraharmonis.com</t>
  </si>
  <si>
    <t>PRO/SUMSEL-01</t>
  </si>
  <si>
    <t>Sumsel2</t>
  </si>
  <si>
    <t>Jl. Residen Abdul Rozak No.11/12, Kalidoni, Palembang</t>
  </si>
  <si>
    <t>mbcounter@yahoo.com</t>
  </si>
  <si>
    <t>Belitung</t>
  </si>
  <si>
    <t>VELINDO BAN</t>
  </si>
  <si>
    <t>KOTA/KAB.</t>
  </si>
  <si>
    <t>AREA PEMASARAN</t>
  </si>
  <si>
    <t>BNZ</t>
  </si>
  <si>
    <t xml:space="preserve">  BNZ/ACEH-03</t>
  </si>
  <si>
    <t>SAFARAZ BAN</t>
  </si>
  <si>
    <t>Jl. Prof. Dr. Mohd. Hasan No. 94A (Depan SPBU Batoh), Batoh, Lueng Bata</t>
  </si>
  <si>
    <t>Budi Setiawan</t>
  </si>
  <si>
    <t>0852-6233 9339</t>
  </si>
  <si>
    <t xml:space="preserve">  BNZ/ACEH-06</t>
  </si>
  <si>
    <t>CAHAYA BARU</t>
  </si>
  <si>
    <t>Jl. Merdeka Timur (depan SPBU Cunda), Uteun Kot, Muara Dua</t>
  </si>
  <si>
    <t>Lhokseumawe</t>
  </si>
  <si>
    <t>Jamaluddin</t>
  </si>
  <si>
    <t>082366936882</t>
  </si>
  <si>
    <t xml:space="preserve">  BNZ/BABEL-04</t>
  </si>
  <si>
    <t>VAQHIL JAYA MOTOR</t>
  </si>
  <si>
    <t>Jl. Jend. Sudirman No.5A (Samping Notaris Yuli), Aik Raya, Perawas, Tanjung Pandan</t>
  </si>
  <si>
    <t>Mr. Sahman</t>
  </si>
  <si>
    <t>081929561696</t>
  </si>
  <si>
    <t xml:space="preserve">  BNZ/BATAM-05</t>
  </si>
  <si>
    <t>Komp. Ruko Gajah Mada Square Blok A No.2, Sungai Harapan, Kec. Sekupang</t>
  </si>
  <si>
    <t>Tommy Paulus Samosir</t>
  </si>
  <si>
    <t>0853-76813999</t>
  </si>
  <si>
    <t xml:space="preserve">  BNZ/BENGKULU-03</t>
  </si>
  <si>
    <t>CAHAYA MOTOR</t>
  </si>
  <si>
    <t>Jl. Lintas Bengkulu-Padang, Kec. Penarik</t>
  </si>
  <si>
    <t>Mukomuko</t>
  </si>
  <si>
    <t>Azwendi</t>
  </si>
  <si>
    <t>085368223979</t>
  </si>
  <si>
    <t xml:space="preserve">  BNZ/JABO-19</t>
  </si>
  <si>
    <t>ELLIAN BAN</t>
  </si>
  <si>
    <t>Jl. Margonda Raya No. 27, Kel. Kamirimuka, Kec. Beji</t>
  </si>
  <si>
    <t>H. Yuningsih</t>
  </si>
  <si>
    <t>0812-19337404</t>
  </si>
  <si>
    <t xml:space="preserve">  BNZ/JABO-20</t>
  </si>
  <si>
    <t>ESA MOTOR</t>
  </si>
  <si>
    <t>Jl. Soekarno Hatta No.7, Kaduagung Tengah, Cibadak</t>
  </si>
  <si>
    <t>Lebak</t>
  </si>
  <si>
    <t>Yadi Kurniadi</t>
  </si>
  <si>
    <t>0821-1040 6091</t>
  </si>
  <si>
    <t xml:space="preserve">  BNZ/JABO-45</t>
  </si>
  <si>
    <t>MANDIRI JAYA BAN - Depok</t>
  </si>
  <si>
    <t>Jl. Margonda Raya No. 39, Depok, Pancoran Mas</t>
  </si>
  <si>
    <t>Alexander Kwa</t>
  </si>
  <si>
    <t>0816-1494970</t>
  </si>
  <si>
    <t xml:space="preserve">  BNZ/JABO-70</t>
  </si>
  <si>
    <t>Jl. Daan Mogot Km.11 No.43, Kedaung Kali Angke, Cengkareng</t>
  </si>
  <si>
    <t>Jessica Bellina</t>
  </si>
  <si>
    <t>0816-1937552</t>
  </si>
  <si>
    <t xml:space="preserve">  BNZ/JABO-73</t>
  </si>
  <si>
    <t>AUTO TRACK</t>
  </si>
  <si>
    <t>Auto Center Citra Raya blok V 06A No.1, Mekar Bakti, Panongan</t>
  </si>
  <si>
    <t>Haryanto Susanto</t>
  </si>
  <si>
    <t>081223033618</t>
  </si>
  <si>
    <t xml:space="preserve">  BNZ/JATIM-03</t>
  </si>
  <si>
    <t>ARJUNO MOTOR</t>
  </si>
  <si>
    <t>Jl. Pemuda Kaffa 31, Junok, Tunjung, Kec. Burneh</t>
  </si>
  <si>
    <t>Bangkalan</t>
  </si>
  <si>
    <t>Udin</t>
  </si>
  <si>
    <t>082257659029</t>
  </si>
  <si>
    <t xml:space="preserve">  BNZ/LAMPUNG-07</t>
  </si>
  <si>
    <t>SUMBER JAYA BAN</t>
  </si>
  <si>
    <t>Jl. Sultan Agung No.19, Way Halim Permai, Way Halim</t>
  </si>
  <si>
    <t>Jemmy Wahyudi</t>
  </si>
  <si>
    <t>085384265656 (Pak Jemmy)</t>
  </si>
  <si>
    <t xml:space="preserve">  BNZ/LAMPUNG-10</t>
  </si>
  <si>
    <t>SIANTURI BAN</t>
  </si>
  <si>
    <t>Jl. Jend Sudirman No. 456, Ganjar Agung, Kec. Metro Barat</t>
  </si>
  <si>
    <t>Metro</t>
  </si>
  <si>
    <t>Tahir Miswanto Sianturi</t>
  </si>
  <si>
    <t>085369094496 (Pak Sianturi)</t>
  </si>
  <si>
    <t xml:space="preserve">  BNZ/LAMPUNG-11</t>
  </si>
  <si>
    <t>KITA MAKMUR MOTOR/KITA JAYA</t>
  </si>
  <si>
    <t>Jl. Proklamator Raya No.110, Bandar Jaya Timur, Terbanggi Besar</t>
  </si>
  <si>
    <t>Kab. Lampung Tengah</t>
  </si>
  <si>
    <t>Erick Stefanus Wenas</t>
  </si>
  <si>
    <t>082177877880 (Pak Erick)</t>
  </si>
  <si>
    <t xml:space="preserve">  BNZ/LAMPUNG-13</t>
  </si>
  <si>
    <t>AAF MOTOR</t>
  </si>
  <si>
    <t>Jl. AH Nasution No.51, Desa Adirejo, Kec. Pekalongan</t>
  </si>
  <si>
    <t>Kab. Lampung Timur</t>
  </si>
  <si>
    <t>M. Amrin Hakim</t>
  </si>
  <si>
    <t>081343353240 (Pak Amrin)</t>
  </si>
  <si>
    <t xml:space="preserve">  BNZ/LAMPUNG-14</t>
  </si>
  <si>
    <t>PANNI BAN</t>
  </si>
  <si>
    <t>Jl. Soekarno Hatta No.7 Tanjung Senang, Bandar Lampung</t>
  </si>
  <si>
    <t>Mara Halim Gultom</t>
  </si>
  <si>
    <t>082183353393 (Pak Gultom)</t>
  </si>
  <si>
    <t xml:space="preserve">  BNZ/LAMPUNG-16</t>
  </si>
  <si>
    <t>PERMAI MOTOR</t>
  </si>
  <si>
    <t>Jl. Proklamator Raya, Bandar Jaya, Lampung Tengah</t>
  </si>
  <si>
    <t>Bandar Jaya</t>
  </si>
  <si>
    <t>Arie Suryanto</t>
  </si>
  <si>
    <t>081210090933</t>
  </si>
  <si>
    <t xml:space="preserve">  BNZ/MALUKU-01</t>
  </si>
  <si>
    <t>AB MAKMUR</t>
  </si>
  <si>
    <t>Desa Mahir, Kec. Tobelo Tengah, Kab. Halmahera Utara, Prov. Maluku Utara</t>
  </si>
  <si>
    <t>Halmahera Utara</t>
  </si>
  <si>
    <t>Maluku Utara</t>
  </si>
  <si>
    <t>Noudy Nayoan</t>
  </si>
  <si>
    <t>085342777714</t>
  </si>
  <si>
    <t xml:space="preserve">  BNZ/MBUNGO-02</t>
  </si>
  <si>
    <t>OKE JAYA BAN</t>
  </si>
  <si>
    <t>Jl. Budi Utomo, Bukit Tigo, Singkut</t>
  </si>
  <si>
    <t>Sarolangun</t>
  </si>
  <si>
    <t>Arifin</t>
  </si>
  <si>
    <t>0852-66220803</t>
  </si>
  <si>
    <t xml:space="preserve">  BNZ/SULSEL-02</t>
  </si>
  <si>
    <t>ANEKA SUBUR</t>
  </si>
  <si>
    <t>Jl. Pisang No.1, Jeppe, Tanete Riattang Barat</t>
  </si>
  <si>
    <t>Bone</t>
  </si>
  <si>
    <t>Rayes Kanna</t>
  </si>
  <si>
    <t>082291438721</t>
  </si>
  <si>
    <t xml:space="preserve">  BNZ/SULSEL-15</t>
  </si>
  <si>
    <t>NANANG BAN</t>
  </si>
  <si>
    <t>Jl. Abdullah Daeng Sirua No.45B, Tamamaung, Panakukkang</t>
  </si>
  <si>
    <t>Naharu</t>
  </si>
  <si>
    <t>085299054456</t>
  </si>
  <si>
    <t>https://www.google.com/maps/search/Sama+Sama+Mitra+Maju+4/@-7.0044475,110.3979184,17z</t>
  </si>
  <si>
    <t>Sama Sama Mitra Maju 4</t>
  </si>
  <si>
    <t>Jl. Krakatau Ujung No.381 C, Pulo Brayan Bengkel, Kec. Medan Tim., Kota Medan, Sumatera Utara 20241</t>
  </si>
  <si>
    <t>https://www.google.com/maps/search/Hiro+Tire/@3.63655555555556,98.6809722222222,17z</t>
  </si>
  <si>
    <t>Hiro Tire</t>
  </si>
  <si>
    <t>Calon DS</t>
  </si>
  <si>
    <t>https://www.google.com/maps/search/MKM+II/@-5.4497505,105.2628254,17z</t>
  </si>
  <si>
    <t>MKM II</t>
  </si>
  <si>
    <t>CV. Sinar Ban Pare&lt;br&gt;Jl. Letjend Sutoyo Pare, Kota Pare Pare, Kabupaten Kediri, Jawa Timur 64211</t>
  </si>
  <si>
    <t>https://www.google.com/maps/search/Sinar+Ban/@-7.77858333333333,112.204277777778,17z</t>
  </si>
  <si>
    <t>Sinar Ban</t>
  </si>
  <si>
    <t>DS/JABO-84&lt;br&gt;Jl. Raya Muchtar No.7 3, RT./RW/RW.7, Sawangan Baru, Kec. Sawangan, Kota Depok, Jawa Barat 16511</t>
  </si>
  <si>
    <t>https://www.google.com/maps/search/Auto+Service+Tyre/@-6.3984848,106.771532,17z</t>
  </si>
  <si>
    <t>Auto Service Tyre</t>
  </si>
  <si>
    <t>https://www.google.com/maps/search/Js+Auto+1/@-6.3461515,106.7142116,17z</t>
  </si>
  <si>
    <t>Js Auto 1</t>
  </si>
  <si>
    <t>https://www.google.com/maps/search/Jaya+Motor+92+Dunlop+Shop/@-6.3300774,107.3296491,17z</t>
  </si>
  <si>
    <t>Jaya Motor 92 Dunlop Shop</t>
  </si>
  <si>
    <t>https://www.google.com/maps/search/HRA+Javaban+Dunlop+|+Spooring+dan+Balancing/@-6.315163,106.7694167,17z</t>
  </si>
  <si>
    <t>HRA Javaban Dunlop | Spooring dan Balancing</t>
  </si>
  <si>
    <t>https://www.google.com/maps/search/Tehnik+Ban/@-2.2738974,113.9265828,17z</t>
  </si>
  <si>
    <t>Tehnik Ban</t>
  </si>
  <si>
    <t>https://www.google.com/maps/search/Pt.+Sutan+Kasim+Ltd.+Muara+Bungo/@-1.4950257,102.1102105,17z</t>
  </si>
  <si>
    <t>Pt. Sutan Kasim Ltd. Muara Bungo</t>
  </si>
  <si>
    <t>https://www.google.com/maps/search/Union+Jaya+Maxindo/@-2.9528595,104.7556113,17z</t>
  </si>
  <si>
    <t>Union Jaya Maxindo</t>
  </si>
  <si>
    <t>https://www.google.com/maps/search/Bansindo+88/@3.566949,98.6915222,17z</t>
  </si>
  <si>
    <t>Bansindo 88</t>
  </si>
  <si>
    <t>https://www.google.com/maps/search/Grazia+ban/@-7.2824553,110.4606659,17z</t>
  </si>
  <si>
    <t>Grazia ban</t>
  </si>
  <si>
    <t>https://www.google.com/maps/search/Dunlop+Auto+Ban+Centre/@-5.3705838,105.051941,17z</t>
  </si>
  <si>
    <t>Dunlop Auto Ban Centre</t>
  </si>
  <si>
    <t>https://www.google.com/maps/search/RAPI+BAN+2/@0.1254505,117.4855477,17z</t>
  </si>
  <si>
    <t>https://www.google.com/maps/search/ANUGRAH+MOTOR/@-4.2790403,105.2219916,17z</t>
  </si>
  <si>
    <t>DS/SUMUT/21</t>
  </si>
  <si>
    <t>https://www.google.com/maps/search/Ester+Ban/@3.5601114,98.7196071,17z</t>
  </si>
  <si>
    <t>Ester Ban</t>
  </si>
  <si>
    <t>DS/ JABO-83</t>
  </si>
  <si>
    <t>https://www.google.com/maps/search/Jasutra+Motor+Interchange/@-6.3351441,107.2741492,17z</t>
  </si>
  <si>
    <t>Jasutra Motor Interchange</t>
  </si>
  <si>
    <t>https://www.google.com/maps/search/Cahaya+RJR+Ban/@5.370701,95.958544,17z</t>
  </si>
  <si>
    <t>Cahaya RJR Ban</t>
  </si>
  <si>
    <t>https://www.google.com/maps/search/Nawilis+Ban/@-6.6210813,106.8077332,17z</t>
  </si>
  <si>
    <t>Nawilis Ban</t>
  </si>
  <si>
    <t>https://www.google.com/maps/search/Auto+Tyre/@-8.5875802,116.1377689,17z</t>
  </si>
  <si>
    <t>Auto Tyre</t>
  </si>
  <si>
    <t>https://www.google.com/maps/search/Dunlop+Shop+3+Bintang+Putra+Kota+Gede+(3BP+KG)/@-7.8161256,110.4021917,17z</t>
  </si>
  <si>
    <t>Dunlop Shop 3 Bintang Putra Kota Gede (3BP KG)</t>
  </si>
  <si>
    <t>https://www.google.com/maps/search/Surya+Motor/@-7.573279,110.261892,17z</t>
  </si>
  <si>
    <t>Surya Motor</t>
  </si>
  <si>
    <t>https://www.google.com/maps/search/Hakim+Putra+Motor+Sidrap/@-3.9360977,119.8010021,17z</t>
  </si>
  <si>
    <t>Hakim Putra Motor Sidrap</t>
  </si>
  <si>
    <t>https://www.google.com/maps/search/Lautan+Ban+2/@-6.1859234,106.6158874,17z</t>
  </si>
  <si>
    <t>Lautan Ban 2</t>
  </si>
  <si>
    <t>https://www.google.com/maps/search/Faiz+Raja+Ban+2/@1.2741785,101.1835417,17z</t>
  </si>
  <si>
    <t>Faiz Raja Ban 2</t>
  </si>
  <si>
    <t>https://www.google.com/maps/search/Master+Ban/@-3.6951988,128.1783557,17z</t>
  </si>
  <si>
    <t>Master Ban</t>
  </si>
  <si>
    <t>https://www.google.com/maps/search/Vivanvio/@0.5601342,123.0658843,17z</t>
  </si>
  <si>
    <t>Vivanvio</t>
  </si>
  <si>
    <t>DS/SULSELGARA-16</t>
  </si>
  <si>
    <t>https://www.google.com/maps/search/UD+CAHAYA+BAN/@-5.1599155,119.4221573,17z</t>
  </si>
  <si>
    <t>UD CAHAYA BAN</t>
  </si>
  <si>
    <t>DS/Kalbar-07</t>
  </si>
  <si>
    <t>https://www.google.com/maps/search/Putra+Auto+Variasi/@0.8953688,108.9806945,17z</t>
  </si>
  <si>
    <t>Putra Auto Variasi</t>
  </si>
  <si>
    <t>https://www.google.com/maps/search/STROBAN/@-6.9730585,108.5225877,17z</t>
  </si>
  <si>
    <t>https://www.google.com/maps/search/Gading+Summa+Ban/@-0.8900958,131.2959823,17z</t>
  </si>
  <si>
    <t>Gading Summa Ban</t>
  </si>
  <si>
    <t>https://www.google.com/maps/search/Berkat+Ban/@-1.8865648,106.1133091,17z</t>
  </si>
  <si>
    <t>Berkat Ban</t>
  </si>
  <si>
    <t>https://www.google.com/maps/search/ISM+Ban/@0.8283655,99.565131,17z</t>
  </si>
  <si>
    <t>ISM Ban</t>
  </si>
  <si>
    <t>https://www.google.com/maps/search/Metropolitan+Ban/@-6.1819698,106.7837454,17z</t>
  </si>
  <si>
    <t>Metropolitan Ban</t>
  </si>
  <si>
    <t>https://www.google.com/maps/search/Sukses+Mandiri+Motor/@-3.324417,114.617529,17z</t>
  </si>
  <si>
    <t>Sukses Mandiri Motor</t>
  </si>
  <si>
    <t>https://www.google.com/maps/search/Richie+Ban/@-6.3207526,106.6827572,17z</t>
  </si>
  <si>
    <t>Richie Ban</t>
  </si>
  <si>
    <t>https://www.google.com/maps/search/Roda+Kencana+Ban/@-6.8555295,107.4983032,17z</t>
  </si>
  <si>
    <t>Roda Kencana Ban</t>
  </si>
  <si>
    <t>https://www.google.com/maps/search/New+Prodi+Ban/@-6.79956,110.8174107,17z</t>
  </si>
  <si>
    <t>New Prodi Ban</t>
  </si>
  <si>
    <t>https://www.google.com/maps/search/Union+Jaya+Ban/@-2.9748491,104.7745309,17z</t>
  </si>
  <si>
    <t>Union Jaya Ban</t>
  </si>
  <si>
    <t>https://www.google.com/maps/search/OTOPAC+Green+Lake/@-6.1838479,106.6981393,17z</t>
  </si>
  <si>
    <t>OTOPAC Green Lake</t>
  </si>
  <si>
    <t>https://www.google.com/maps/search/Sejahtera+Tyre+Center/@-6.9047813,107.6028628,17z</t>
  </si>
  <si>
    <t>Sejahtera Tyre Center</t>
  </si>
  <si>
    <t>https://www.google.com/maps/search/Mandala+Jaya/@-2.9608597,104.7949293,17z</t>
  </si>
  <si>
    <t>Mandala Jaya</t>
  </si>
  <si>
    <t>https://www.google.com/maps/search/PT.+Catur+Putra+Harmonis+(Mahaputra)/@-5.127759,119.4199781,17z</t>
  </si>
  <si>
    <t>PT. Catur Putra Harmonis (Mahaputra)</t>
  </si>
  <si>
    <t>https://www.google.com/maps/search/Kharisma+Makmur+Abadi/@-0.0775057,109.3662948,17z</t>
  </si>
  <si>
    <t>Kharisma Makmur Abadi</t>
  </si>
  <si>
    <t>https://www.google.com/maps/search/Arena+Ban+(2)/@-7.3299848,112.7809399,17z</t>
  </si>
  <si>
    <t>Arena Ban (2)</t>
  </si>
  <si>
    <t>https://www.google.com/maps/search/MPN+Kharisma+-+Serpong/@-6.2276676,106.6391907,17z</t>
  </si>
  <si>
    <t>MPN Kharisma - Serpong</t>
  </si>
  <si>
    <t>https://www.google.com/maps/search/MPN+Kharisma+-+Pondok+Indah/@-6.2594974,106.781649,17z</t>
  </si>
  <si>
    <t>MPN Kharisma - Pondok Indah</t>
  </si>
  <si>
    <t>https://www.google.com/maps/search/Oscar+Variasi+SS/@-8.717953,115.1849138,17z</t>
  </si>
  <si>
    <t>Oscar Variasi SS</t>
  </si>
  <si>
    <t>https://www.google.com/maps/search/Oscar+Variasi+(Kuta)/@-8.6835419,115.1954887,17z</t>
  </si>
  <si>
    <t>Oscar Variasi (Kuta)</t>
  </si>
  <si>
    <t>https://www.google.com/maps/search/Sumber+Jadi+2/@-2.1368211,106.1365322,17z</t>
  </si>
  <si>
    <t>Sumber Jadi 2</t>
  </si>
  <si>
    <t>https://www.google.com/maps/search/Galunggung+Ban/@-6.3079825,106.9549415,17z</t>
  </si>
  <si>
    <t>Galunggung Ban</t>
  </si>
  <si>
    <t>https://www.google.com/maps/search/Citra+Mandiri+Ban/@3.5898869,98.6565054,17z</t>
  </si>
  <si>
    <t>Citra Mandiri Ban</t>
  </si>
  <si>
    <t>https://www.google.com/maps/search/Pangeran+auto+service/@3.6218543,98.705429,17z</t>
  </si>
  <si>
    <t>Pangeran auto service</t>
  </si>
  <si>
    <t>https://www.google.com/maps/search/21+Ban/@3.552568,98.625781,17z</t>
  </si>
  <si>
    <t>21 Ban</t>
  </si>
  <si>
    <t>https://www.google.com/maps/search/Suria+Ban/@3.5948959,98.6807894,17z</t>
  </si>
  <si>
    <t>Suria Ban</t>
  </si>
  <si>
    <t>https://www.google.com/maps/search/Stasiun+Service/@3.5886494,98.6804144,17z</t>
  </si>
  <si>
    <t>Stasiun Service</t>
  </si>
  <si>
    <t>https://www.google.com/maps/search/Sentra+Ban/@2.9654541,99.0752552,17z</t>
  </si>
  <si>
    <t>Sentra Ban</t>
  </si>
  <si>
    <t>https://www.google.com/maps/search/Sampatti+Ban/@3.5782353,98.6267655,17z</t>
  </si>
  <si>
    <t>Sampatti Ban</t>
  </si>
  <si>
    <t>https://www.google.com/maps/search/Said+Ban/@2.0975344,99.8327989,17z</t>
  </si>
  <si>
    <t>Said Ban</t>
  </si>
  <si>
    <t>https://www.google.com/maps/search/Persaudaraan+Juanda+Ban/@3.5726302,98.6889084,17z</t>
  </si>
  <si>
    <t>Persaudaraan Juanda Ban</t>
  </si>
  <si>
    <t>https://www.google.com/maps/search/Permaisuri+Ban/@3.5930019,98.6783947,17z</t>
  </si>
  <si>
    <t>Permaisuri Ban</t>
  </si>
  <si>
    <t>https://www.google.com/maps/search/Pangeran+Ban/@3.590157,98.6695089,17z</t>
  </si>
  <si>
    <t>Pangeran Ban</t>
  </si>
  <si>
    <t>https://www.google.com/maps/search/Radif+Otomotif/@3.6025139,98.6454815,17z</t>
  </si>
  <si>
    <t>Radif Otomotif</t>
  </si>
  <si>
    <t>https://www.google.com/maps/search/Makmur+Jaya+Ban/@3.554085,98.6321753,17z</t>
  </si>
  <si>
    <t>Makmur Jaya Ban</t>
  </si>
  <si>
    <t>https://www.google.com/maps/search/Dolphin/@1.7402655,98.7825557,17z</t>
  </si>
  <si>
    <t>Dolphin</t>
  </si>
  <si>
    <t>https://www.google.com/maps/search/Deli+Service/@3.605401,98.4877329,17z</t>
  </si>
  <si>
    <t>Deli Service</t>
  </si>
  <si>
    <t>https://www.google.com/maps/search/Bintang+Ban/@3.5911987,98.6409181,17z</t>
  </si>
  <si>
    <t>Bintang Ban</t>
  </si>
  <si>
    <t>https://www.google.com/maps/search/Berjaya+Ban/@3.5887727,98.7016933,17z</t>
  </si>
  <si>
    <t>Berjaya Ban</t>
  </si>
  <si>
    <t>https://www.google.com/maps/search/Banindo+Perkasa/@3.6065083,98.670691,17z</t>
  </si>
  <si>
    <t>Banindo Perkasa</t>
  </si>
  <si>
    <t>https://www.google.com/maps/search/INDO+BAN/@-2.9946769,104.8088694,17z</t>
  </si>
  <si>
    <t>https://www.google.com/maps/search/Neo+PM/@-2.9500883,104.7852688,17z</t>
  </si>
  <si>
    <t>Neo PM</t>
  </si>
  <si>
    <t>https://www.google.com/maps/search/Ditateg+Ban/@-3.8588808,104.8867623,17z</t>
  </si>
  <si>
    <t>Ditateg Ban</t>
  </si>
  <si>
    <t>https://www.google.com/maps/search/Sumber+Agung+Putri/@-2.9138551,104.6713569,17z</t>
  </si>
  <si>
    <t>Sumber Agung Putri</t>
  </si>
  <si>
    <t>https://www.google.com/maps/search/Sumber+Agung+Putra/@-4.112884,104.6782158,17z</t>
  </si>
  <si>
    <t>Sumber Agung Putra</t>
  </si>
  <si>
    <t>https://www.google.com/maps/search/Sumber+Agung+Jaya/@-2.9178395,104.7608217,17z</t>
  </si>
  <si>
    <t>Sumber Agung Jaya</t>
  </si>
  <si>
    <t>https://www.google.com/maps/search/Mandala+Raya+Ban/@-2.9759089,104.7601679,17z</t>
  </si>
  <si>
    <t>Mandala Raya Ban</t>
  </si>
  <si>
    <t>https://www.google.com/maps/search/Mandala+Jaya/@-2.9754515,104.7608875,17z</t>
  </si>
  <si>
    <t>https://www.google.com/maps/search/Mandala+Jaya/@-2.9501052,104.7667237,17z</t>
  </si>
  <si>
    <t>https://www.google.com/maps/search/Graha+Motor/@-3.790117,103.5386496,17z</t>
  </si>
  <si>
    <t>Graha Motor</t>
  </si>
  <si>
    <t>https://www.google.com/maps/search/Wira+Pratama+97/@-0.3107126,100.3872242,17z</t>
  </si>
  <si>
    <t>Wira Pratama 97</t>
  </si>
  <si>
    <t>https://www.google.com/maps/search/Tiga+Jaya+Ban/@0.0752573,99.8212325,17z</t>
  </si>
  <si>
    <t>Tiga Jaya Ban</t>
  </si>
  <si>
    <t>https://www.google.com/maps/search/Sinar+Jaya+Ban/@-0.1505204,100.5640991,17z</t>
  </si>
  <si>
    <t>Sinar Jaya Ban</t>
  </si>
  <si>
    <t>https://www.google.com/maps/search/Saudara+Baru/@-0.9511716,100.3584144,17z</t>
  </si>
  <si>
    <t>Saudara Baru</t>
  </si>
  <si>
    <t>https://www.google.com/maps/search/PT.+Sutan+Kasim+-+Padang/@-0.9408992,100.354683,17z</t>
  </si>
  <si>
    <t>PT. Sutan Kasim - Padang</t>
  </si>
  <si>
    <t>DS/SUMBAR-17</t>
  </si>
  <si>
    <t>https://www.google.com/maps/search/PT.+Sutan+Kasim+-+Lubuksikaping/@0.1372089,100.1684324,17z</t>
  </si>
  <si>
    <t>PT. Sutan Kasim - Lubuksikaping</t>
  </si>
  <si>
    <t>https://www.google.com/maps/search/Perdana+Motor/@-0.2858436,100.3721595,17z</t>
  </si>
  <si>
    <t>Perdana Motor</t>
  </si>
  <si>
    <t>https://www.google.com/maps/search/Perdana+Ban/@-0.7955515,100.6662246,17z</t>
  </si>
  <si>
    <t>Perdana Ban</t>
  </si>
  <si>
    <t>https://www.google.com/maps/search/New+LS+Motor/@-0.4605615,100.5808187,17z</t>
  </si>
  <si>
    <t>New LS Motor</t>
  </si>
  <si>
    <t>https://www.google.com/maps/search/Nasution+Ban/@-0.8394873,100.3584995,17z</t>
  </si>
  <si>
    <t>Nasution Ban</t>
  </si>
  <si>
    <t>https://www.google.com/maps/search/NST/@-0.7840108,100.3165872,17z</t>
  </si>
  <si>
    <t>https://www.google.com/maps/search/Morisson+Karya+Perkasa/@-0.9376108,100.3575253,17z</t>
  </si>
  <si>
    <t>Morisson Karya Perkasa</t>
  </si>
  <si>
    <t>https://www.google.com/maps/search/Moris+Motor/@-0.9341131,100.3543963,17z</t>
  </si>
  <si>
    <t>Moris Motor</t>
  </si>
  <si>
    <t>https://www.google.com/maps/search/Kurnia+Jasa/@-0.9455519,100.355534,17z</t>
  </si>
  <si>
    <t>Kurnia Jasa</t>
  </si>
  <si>
    <t>https://www.google.com/maps/search/Hanum+Motor/@-0.2490908,100.6795337,17z</t>
  </si>
  <si>
    <t>Hanum Motor</t>
  </si>
  <si>
    <t>https://www.google.com/maps/search/Grand+LS+Motor/@-0.466979,100.409974,17z</t>
  </si>
  <si>
    <t>Grand LS Motor</t>
  </si>
  <si>
    <t>https://www.google.com/maps/search/Francs+Madani+Motor/@-1.3420939,100.5796891,17z</t>
  </si>
  <si>
    <t>Francs Madani Motor</t>
  </si>
  <si>
    <t>https://www.google.com/maps/search/Dunia+Ban+-+Bukittinggi/@-0.297805,100.3826554,17z</t>
  </si>
  <si>
    <t>Dunia Ban - Bukittinggi</t>
  </si>
  <si>
    <t>https://www.google.com/maps/search/D'NIJY+Motor/@-2.1250513,101.0706766,17z</t>
  </si>
  <si>
    <t>D'NIJY Motor</t>
  </si>
  <si>
    <t>https://www.google.com/maps/search/Cendana+Motor/@-0.4488966,100.4011857,17z</t>
  </si>
  <si>
    <t>Cendana Motor</t>
  </si>
  <si>
    <t>https://www.google.com/maps/search/CV.+Berlian+Jaya/@-0.9157245,100.3500409,17z</t>
  </si>
  <si>
    <t>CV. Berlian Jaya</t>
  </si>
  <si>
    <t>https://www.google.com/maps/search/London+Motor/@1.3302843,124.8384694,17z</t>
  </si>
  <si>
    <t>London Motor</t>
  </si>
  <si>
    <t>https://www.google.com/maps/search/Kencana+Abadi/@1.4567691,124.8149391,17z</t>
  </si>
  <si>
    <t>Kencana Abadi</t>
  </si>
  <si>
    <t>https://www.google.com/maps/search/PT.+Hasjrat+Abadi/@1.4929095,124.845936,17z</t>
  </si>
  <si>
    <t>PT. Hasjrat Abadi</t>
  </si>
  <si>
    <t>https://www.google.com/maps/search/AMS+BAN/@-7.6092726,110.8182334,17z</t>
  </si>
  <si>
    <t>AMS BAN</t>
  </si>
  <si>
    <t>https://www.google.com/maps/search/Abadi+Motor/@1.4310414,124.9764243,17z</t>
  </si>
  <si>
    <t>Abadi Motor</t>
  </si>
  <si>
    <t>https://www.google.com/maps/search/Rolen+Jaya+Ban/@-0.8515532,119.8834334,17z</t>
  </si>
  <si>
    <t>Rolen Jaya Ban</t>
  </si>
  <si>
    <t>https://www.google.com/maps/search/Sumber+Mas+Ban/@-5.1235868,119.4185177,17z</t>
  </si>
  <si>
    <t>Sumber Mas Ban</t>
  </si>
  <si>
    <t>https://www.google.com/maps/search/Dilma+Jaya/@-2.52214,120.813968,17z</t>
  </si>
  <si>
    <t>Dilma Jaya</t>
  </si>
  <si>
    <t>https://www.google.com/maps/search/Sumber+Jaya/@-3.9732568,122.5179958,17z</t>
  </si>
  <si>
    <t>Sumber Jaya</t>
  </si>
  <si>
    <t>https://www.google.com/maps/search/Sinar+Buana+Motor/@-3.9784456,122.5107207,17z</t>
  </si>
  <si>
    <t>Sinar Buana Motor</t>
  </si>
  <si>
    <t>https://www.google.com/maps/search/Roda+Perkasa+Motor/@-4.0003034,122.5098562,17z</t>
  </si>
  <si>
    <t>Roda Perkasa Motor</t>
  </si>
  <si>
    <t>https://www.google.com/maps/search/Citra+Nusa+Motor/@-3.9628488,122.5189787,17z</t>
  </si>
  <si>
    <t>Citra Nusa Motor</t>
  </si>
  <si>
    <t>https://www.google.com/maps/search/PT.+Catur+Putra+Harmonis+(Mahaputra)/@-5.1774101,119.4606018,17z</t>
  </si>
  <si>
    <t>https://www.google.com/maps/search/PT.+Catur+Putrharmonis/@-5.174491,119.432773,17z</t>
  </si>
  <si>
    <t>PT. Catur Putrharmonis</t>
  </si>
  <si>
    <t>https://www.google.com/maps/search/Pacific+Motor/@-5.1963197,119.445275,17z</t>
  </si>
  <si>
    <t>Pacific Motor</t>
  </si>
  <si>
    <t>https://www.google.com/maps/search/Aneka+Ban+(Veteran)/@-5.1567479,119.4238464,17z</t>
  </si>
  <si>
    <t>Aneka Ban (Veteran)</t>
  </si>
  <si>
    <t>https://www.google.com/maps/search/Aneka+Ban+(Maros)/@-5.005492,119.583764,17z</t>
  </si>
  <si>
    <t>Aneka Ban (Maros)</t>
  </si>
  <si>
    <t>https://www.google.com/maps/search/Alam+Jaya/@-5.1215435,120.2529018,17z</t>
  </si>
  <si>
    <t>Alam Jaya</t>
  </si>
  <si>
    <t>https://www.google.com/maps/search/Jilli+Ban/@1.6813051,101.4464959,17z</t>
  </si>
  <si>
    <t>Jilli Ban</t>
  </si>
  <si>
    <t>https://www.google.com/maps/search/Toko+Model+Deli+Jaya+Ban/@0.5348877,101.4241682,17z</t>
  </si>
  <si>
    <t>Toko Model Deli Jaya Ban</t>
  </si>
  <si>
    <t>https://www.google.com/maps/search/Surya+Ban/@0.471449,101.394696,17z</t>
  </si>
  <si>
    <t>Surya Ban</t>
  </si>
  <si>
    <t>https://www.google.com/maps/search/RY+Auto+Service/@0.4637567,101.3974134,17z</t>
  </si>
  <si>
    <t>RY Auto Service</t>
  </si>
  <si>
    <t>https://www.google.com/maps/search/Remaja+Ban/@1.6743864,101.4379187,17z</t>
  </si>
  <si>
    <t>Remaja Ban</t>
  </si>
  <si>
    <t>https://www.google.com/maps/search/PT.+Sutan+Kasim+(Duri)/@1.277492,101.1965712,17z</t>
  </si>
  <si>
    <t>PT. Sutan Kasim (Duri)</t>
  </si>
  <si>
    <t>https://www.google.com/maps/search/PT.+Sutan+Kasim+(Pekanbaru)/@0.4953879,101.4185747,17z</t>
  </si>
  <si>
    <t>PT. Sutan Kasim (Pekanbaru)</t>
  </si>
  <si>
    <t>https://www.google.com/maps/search/Makmur+Ban/@0.4965104,101.4197303,17z</t>
  </si>
  <si>
    <t>Makmur Ban</t>
  </si>
  <si>
    <t>https://www.google.com/maps/search/Indonas+Ban/@0.501263,101.4233552,17z</t>
  </si>
  <si>
    <t>Indonas Ban</t>
  </si>
  <si>
    <t>https://www.google.com/maps/search/Idola+Ban/@1.707978,100.3994354,17z</t>
  </si>
  <si>
    <t>Idola Ban</t>
  </si>
  <si>
    <t>https://www.google.com/maps/search/Hamra+Ban+2/@0.5154188,101.4378585,17z</t>
  </si>
  <si>
    <t>Hamra Ban 2</t>
  </si>
  <si>
    <t>https://www.google.com/maps/search/Dunia+Ban/@0.5050263,101.4344704,17z</t>
  </si>
  <si>
    <t>Dunia Ban</t>
  </si>
  <si>
    <t>https://www.google.com/maps/search/Delta+Auto+Service/@0.3948426,101.8578805,17z</t>
  </si>
  <si>
    <t>Delta Auto Service</t>
  </si>
  <si>
    <t>https://www.google.com/maps/search/Dalimo+Jaya+Motor/@0.4702466,101.4186422,17z</t>
  </si>
  <si>
    <t>Dalimo Jaya Motor</t>
  </si>
  <si>
    <t>https://www.google.com/maps/search/ARD+Auto+Service/@0.4941489,101.4852705,17z</t>
  </si>
  <si>
    <t>ARD Auto Service</t>
  </si>
  <si>
    <t>https://www.google.com/maps/search/Aneka+Baru+Ban/@1.2690151,101.1898991,17z</t>
  </si>
  <si>
    <t>Aneka Baru Ban</t>
  </si>
  <si>
    <t>https://www.google.com/maps/search/Artha+Ban/@-3.3828285,135.5034017,17z</t>
  </si>
  <si>
    <t>Artha Ban</t>
  </si>
  <si>
    <t>https://www.google.com/maps/search/OTO+Shop/@-10.1494211,123.6403339,17z</t>
  </si>
  <si>
    <t>OTO Shop</t>
  </si>
  <si>
    <t>https://www.google.com/maps/search/OTO+Style/@-10.1668949,123.6293796,17z</t>
  </si>
  <si>
    <t>OTO Style</t>
  </si>
  <si>
    <t>https://www.google.com/maps/search/UD.+Madju/@-8.5968941,116.1478257,17z</t>
  </si>
  <si>
    <t>UD. Madju</t>
  </si>
  <si>
    <t>https://www.google.com/maps/search/Duta+Ban/@-8.4516682,118.724625,17z</t>
  </si>
  <si>
    <t>Duta Ban</t>
  </si>
  <si>
    <t>DS/MBungo-03</t>
  </si>
  <si>
    <t>https://www.google.com/maps/search/Tiga+Bintang/@-1.4916297,102.1346874,17z</t>
  </si>
  <si>
    <t>Tiga Bintang</t>
  </si>
  <si>
    <t>https://www.google.com/maps/search/Bintang+Abadi/@-1.4537806,102.1236759,17z</t>
  </si>
  <si>
    <t>Bintang Abadi</t>
  </si>
  <si>
    <t>https://www.google.com/maps/search/Multi+Kencana+Makmur/@-5.447242,105.270186,17z</t>
  </si>
  <si>
    <t>Multi Kencana Makmur</t>
  </si>
  <si>
    <t>https://www.google.com/maps/search/PT.+Sinta+Winasri+Putri+Cipta+(Samarinda)/@-0.5000989,117.1526406,17z</t>
  </si>
  <si>
    <t>PT. Sinta Winasri Putri Cipta (Samarinda)</t>
  </si>
  <si>
    <t>https://www.google.com/maps/search/PT.+Sinta+Winasri+Putri+Cipta+(Balikpapan)/@-1.274414,116.846317,17z</t>
  </si>
  <si>
    <t>PT. Sinta Winasri Putri Cipta (Balikpapan)</t>
  </si>
  <si>
    <t>https://www.google.com/maps/search/Roda+Berkah/@-1.2244029,116.9635218,17z</t>
  </si>
  <si>
    <t>Roda Berkah</t>
  </si>
  <si>
    <t>https://www.google.com/maps/search/Remaja+Motor/@0.496776,117.528063,17z</t>
  </si>
  <si>
    <t>Remaja Motor</t>
  </si>
  <si>
    <t>https://www.google.com/maps/search/Rapi+Ban/@0.1317108,117.4871184,17z</t>
  </si>
  <si>
    <t>Rapi Ban</t>
  </si>
  <si>
    <t>https://www.google.com/maps/search/Kilat+Ban/@-0.499868,117.144129,17z</t>
  </si>
  <si>
    <t>Kilat Ban</t>
  </si>
  <si>
    <t>https://www.google.com/maps/search/Asahi/@2.8550997,117.3683244,17z</t>
  </si>
  <si>
    <t>Asahi</t>
  </si>
  <si>
    <t>https://www.google.com/maps/search/Terminal+Ban+2/@-2.248342,113.9199789,17z</t>
  </si>
  <si>
    <t>Terminal Ban 2</t>
  </si>
  <si>
    <t>https://www.google.com/maps/search/Realita+Ban/@-2.5366378,112.9417933,17z</t>
  </si>
  <si>
    <t>Realita Ban</t>
  </si>
  <si>
    <t>https://www.google.com/maps/search/Sampatti+Ban/@-3.3609277,114.6345003,17z</t>
  </si>
  <si>
    <t>https://www.google.com/maps/search/PT+Mitra+Cakrawala+Indoban/@-3.36617,114.639333,17z</t>
  </si>
  <si>
    <t>PT Mitra Cakrawala Indoban</t>
  </si>
  <si>
    <t>https://www.google.com/maps/search/Trijaya+Ban/@-0.060787,109.3843864,17z</t>
  </si>
  <si>
    <t>Trijaya Ban</t>
  </si>
  <si>
    <t>https://www.google.com/maps/search/Sumber+Roda/@-0.024505,109.326167,17z</t>
  </si>
  <si>
    <t>Sumber Roda</t>
  </si>
  <si>
    <t>https://www.google.com/maps/search/Satelit+Mitra+Motor/@0.0640009,111.4869951,17z</t>
  </si>
  <si>
    <t>Satelit Mitra Motor</t>
  </si>
  <si>
    <t>https://www.google.com/maps/search/Roda+Makmur/@-0.046418,109.354406,17z</t>
  </si>
  <si>
    <t>Roda Makmur</t>
  </si>
  <si>
    <t>https://www.google.com/maps/search/CV.+Masa+Sama/@-0.0554575,109.3114286,17z</t>
  </si>
  <si>
    <t>CV. Masa Sama</t>
  </si>
  <si>
    <t>https://www.google.com/maps/search/PAP+Tyre+&amp;+Service/@-7.449083,112.721673,17z</t>
  </si>
  <si>
    <t>PAP Tyre &amp; Service</t>
  </si>
  <si>
    <t>https://www.google.com/maps/search/CV.+Nganjuk+Sejahtera+Bersama/@-7.5998473,111.9139234,17z</t>
  </si>
  <si>
    <t>CV. Nganjuk Sejahtera Bersama</t>
  </si>
  <si>
    <t>https://www.google.com/maps/search/GTL+Ban+Mojoroto/@-7.7962884,112.0024995,17z</t>
  </si>
  <si>
    <t>GTL Ban Mojoroto</t>
  </si>
  <si>
    <t>https://www.google.com/maps/search/Citra+Taman+Sejahtera/@-7.3523339,112.6987445,17z</t>
  </si>
  <si>
    <t>Citra Taman Sejahtera</t>
  </si>
  <si>
    <t>https://www.google.com/maps/search/Wijaya's+Baru/@-7.2993909,112.7594984,17z</t>
  </si>
  <si>
    <t>Wijaya's Baru</t>
  </si>
  <si>
    <t>https://www.google.com/maps/search/Spektro+Motor/@-7.49216,112.448206,17z</t>
  </si>
  <si>
    <t>Spektro Motor</t>
  </si>
  <si>
    <t>https://www.google.com/maps/search/Soen+Motor/@-8.1109791,113.2198279,17z</t>
  </si>
  <si>
    <t>Soen Motor</t>
  </si>
  <si>
    <t>https://www.google.com/maps/search/Sinar+Jaya/@-7.2378303,112.7357056,17z</t>
  </si>
  <si>
    <t>Sinar Jaya</t>
  </si>
  <si>
    <t>https://www.google.com/maps/search/Sanjaya+Auto+Service/@-7.7005338,114.02268,17z</t>
  </si>
  <si>
    <t>Sanjaya Auto Service</t>
  </si>
  <si>
    <t>https://www.google.com/maps/search/Pratama+Abadi/@-7.8293909,112.0230561,17z</t>
  </si>
  <si>
    <t>Pratama Abadi</t>
  </si>
  <si>
    <t>DS/JATIM-36</t>
  </si>
  <si>
    <t>https://www.google.com/maps/search/Pojok+Joyo/@-7.466158,112.4352,17z</t>
  </si>
  <si>
    <t>Pojok Joyo</t>
  </si>
  <si>
    <t>https://www.google.com/maps/search/UD.+Pelita+Sarana+Ban/@-7.1649106,112.6371991,17z</t>
  </si>
  <si>
    <t>UD. Pelita Sarana Ban</t>
  </si>
  <si>
    <t>https://www.google.com/maps/search/Pasti+Jaya+Ban/@-7.331405,112.779545,17z</t>
  </si>
  <si>
    <t>Pasti Jaya Ban</t>
  </si>
  <si>
    <t>https://www.google.com/maps/search/Paramita+Ban/@-8.1841281,113.6678602,17z</t>
  </si>
  <si>
    <t>Paramita Ban</t>
  </si>
  <si>
    <t>https://www.google.com/maps/search/Murni+Ban/@-7.2463831,112.747846,17z</t>
  </si>
  <si>
    <t>Murni Ban</t>
  </si>
  <si>
    <t>https://www.google.com/maps/search/Mitra+Tama+Raya/@-7.2377721,112.7465056,17z</t>
  </si>
  <si>
    <t>Mitra Tama Raya</t>
  </si>
  <si>
    <t>https://www.google.com/maps/search/Mandiri+Sakti/@-7.399475,112.57743,17z</t>
  </si>
  <si>
    <t>Mandiri Sakti</t>
  </si>
  <si>
    <t>https://www.google.com/maps/search/Jombang+Variasi/@-7.5324909,112.2465214,17z</t>
  </si>
  <si>
    <t>Jombang Variasi</t>
  </si>
  <si>
    <t>https://www.google.com/maps/search/Jaya+Automotive/@-7.7328194,113.6982102,17z</t>
  </si>
  <si>
    <t>Jaya Automotive</t>
  </si>
  <si>
    <t>https://www.google.com/maps/search/Jatim+Jaya+Ban/@-7.463746,112.7032671,17z</t>
  </si>
  <si>
    <t>Jatim Jaya Ban</t>
  </si>
  <si>
    <t>https://www.google.com/maps/search/Hutama+Motor/@-8.111677,112.173089,17z</t>
  </si>
  <si>
    <t>Hutama Motor</t>
  </si>
  <si>
    <t>https://www.google.com/maps/search/Gunawan+Ban/@-7.2478825,112.7473451,17z</t>
  </si>
  <si>
    <t>Gunawan Ban</t>
  </si>
  <si>
    <t>https://www.google.com/maps/search/GBT+Laras+Imbang/@-7.2666351,112.7675633,17z</t>
  </si>
  <si>
    <t>GBT Laras Imbang</t>
  </si>
  <si>
    <t>https://www.google.com/maps/search/Galaxy+Ban/@-8.055932,111.9054946,17z</t>
  </si>
  <si>
    <t>Galaxy Ban</t>
  </si>
  <si>
    <t>https://www.google.com/maps/search/Formula/@-7.2452748,112.6807152,17z</t>
  </si>
  <si>
    <t>Formula</t>
  </si>
  <si>
    <t>https://www.google.com/maps/search/Eka+Jaya/@-7.1739236,112.6521196,17z</t>
  </si>
  <si>
    <t>Eka Jaya</t>
  </si>
  <si>
    <t>https://www.google.com/maps/search/Dunlop+Madiun/@-7.6289552,111.5111645,17z</t>
  </si>
  <si>
    <t>Dunlop Madiun</t>
  </si>
  <si>
    <t>https://www.google.com/maps/search/City+Ban/@-7.319997,112.748316,17z</t>
  </si>
  <si>
    <t>City Ban</t>
  </si>
  <si>
    <t>https://www.google.com/maps/search/Bianto/@-7.9830147,112.6369504,17z</t>
  </si>
  <si>
    <t>Bianto</t>
  </si>
  <si>
    <t>https://www.google.com/maps/search/Ban+Maju/@-7.8711567,111.4839937,17z</t>
  </si>
  <si>
    <t>Ban Maju</t>
  </si>
  <si>
    <t>https://www.google.com/maps/search/Hendro+Ban/@-7.9452919,112.6185245,17z</t>
  </si>
  <si>
    <t>Hendro Ban</t>
  </si>
  <si>
    <t>https://www.google.com/maps/search/B&amp;S+Tyre+Center+&amp;+Tune+Up/@-7.3238506,112.7754391,17z</t>
  </si>
  <si>
    <t>B&amp;S Tyre Center &amp; Tune Up</t>
  </si>
  <si>
    <t>https://www.google.com/maps/search/Auzan+Ban/@-7.5550919,112.235474,17z</t>
  </si>
  <si>
    <t>Auzan Ban</t>
  </si>
  <si>
    <t>https://www.google.com/maps/search/ATP+Motor/@-7.9893748,112.6220612,17z</t>
  </si>
  <si>
    <t>ATP Motor</t>
  </si>
  <si>
    <t>https://www.google.com/maps/search/Asia+Baru/@-7.859656,112.6879992,17z</t>
  </si>
  <si>
    <t>Asia Baru</t>
  </si>
  <si>
    <t>https://www.google.com/maps/search/Arya+Ban/@-7.2432081,112.7522467,17z</t>
  </si>
  <si>
    <t>Arya Ban</t>
  </si>
  <si>
    <t>https://www.google.com/maps/search/Ariesta+Ban/@-7.4426093,112.6873479,17z</t>
  </si>
  <si>
    <t>Ariesta Ban</t>
  </si>
  <si>
    <t>https://www.google.com/maps/search/Arena+Ban/@-7.2530166,112.7446078,17z</t>
  </si>
  <si>
    <t>Arena Ban</t>
  </si>
  <si>
    <t>https://www.google.com/maps/search/Anugerah+Ban/@-7.6480536,111.3271055,17z</t>
  </si>
  <si>
    <t>Anugerah Ban</t>
  </si>
  <si>
    <t>https://www.google.com/maps/search/Aneka+Jaya/@-7.4116965,112.5735063,17z</t>
  </si>
  <si>
    <t>Aneka Jaya</t>
  </si>
  <si>
    <t>https://www.google.com/maps/search/Aneka+Ban+101/@-7.2494378,112.7458197,17z</t>
  </si>
  <si>
    <t>Aneka Ban 101</t>
  </si>
  <si>
    <t>https://www.google.com/maps/search/Ali+Ban/@-8.1705432,114.386325,17z</t>
  </si>
  <si>
    <t>Ali Ban</t>
  </si>
  <si>
    <t>https://www.google.com/maps/search/Abadi+Ban/@-7.2740095,112.6601088,17z</t>
  </si>
  <si>
    <t>Abadi Ban</t>
  </si>
  <si>
    <t>https://www.google.com/maps/search/New+Gunawan+Motor/@-7.4009849,109.3493199,17z</t>
  </si>
  <si>
    <t>New Gunawan Motor</t>
  </si>
  <si>
    <t>https://www.google.com/maps/search/Purnama+Ban/@-7.3049562,109.3686464,17z</t>
  </si>
  <si>
    <t>Purnama Ban</t>
  </si>
  <si>
    <t>https://www.google.com/maps/search/New+Prodi+(3)/@-6.7507631,111.0478918,17z</t>
  </si>
  <si>
    <t>New Prodi (3)</t>
  </si>
  <si>
    <t>https://www.google.com/maps/search/Mari+Ban/@-7.8278696,110.4431658,17z</t>
  </si>
  <si>
    <t>Mari Ban</t>
  </si>
  <si>
    <t>https://www.google.com/maps/search/Wibowo+Ban+2/@-7.9039444,110.32177,17z</t>
  </si>
  <si>
    <t>Wibowo Ban 2</t>
  </si>
  <si>
    <t>https://www.google.com/maps/search/Wibowo+Ban/@-7.7630825,110.4321141,17z</t>
  </si>
  <si>
    <t>Wibowo Ban</t>
  </si>
  <si>
    <t>https://www.google.com/maps/search/Sumber+Rejeki+Ban/@-6.7042778,111.3333792,17z</t>
  </si>
  <si>
    <t>Sumber Rejeki Ban</t>
  </si>
  <si>
    <t>https://www.google.com/maps/search/Subur+Utama+Ban/@-6.9012327,109.6735146,17z</t>
  </si>
  <si>
    <t>Subur Utama Ban</t>
  </si>
  <si>
    <t>https://www.google.com/maps/search/Subur+Motor+-+Cibinong/@-6.4999321,106.8437606,17z</t>
  </si>
  <si>
    <t>Subur Motor - Cibinong</t>
  </si>
  <si>
    <t>https://www.google.com/maps/search/Subur+Ban/@-7.4228778,109.2154083,17z</t>
  </si>
  <si>
    <t>Subur Ban</t>
  </si>
  <si>
    <t>https://www.google.com/maps/search/Subur+Ban/@-7.0704349,110.9294919,17z</t>
  </si>
  <si>
    <t>https://www.google.com/maps/search/Solo+Putra+Ban/@-7.5666408,110.7976837,17z</t>
  </si>
  <si>
    <t>Solo Putra Ban</t>
  </si>
  <si>
    <t>https://www.google.com/maps/search/Sinar+Baru/@-7.0252788,110.4681104,17z</t>
  </si>
  <si>
    <t>Sinar Baru</t>
  </si>
  <si>
    <t>https://www.google.com/maps/search/Sidodadi+Ban/@-6.5293702,110.7376064,17z</t>
  </si>
  <si>
    <t>Sidodadi Ban</t>
  </si>
  <si>
    <t>https://www.google.com/maps/search/Sedar+Ban/@-7.4415872,109.2257937,17z</t>
  </si>
  <si>
    <t>Sedar Ban</t>
  </si>
  <si>
    <t>https://www.google.com/maps/search/Sarana+Ban/@-6.9857835,110.3799341,17z</t>
  </si>
  <si>
    <t>Sarana Ban</t>
  </si>
  <si>
    <t>https://www.google.com/maps/search/Sama-Sama+Mitra+Maju/@-6.9940204,110.4346619,17z</t>
  </si>
  <si>
    <t>Sama-Sama Mitra Maju</t>
  </si>
  <si>
    <t>https://www.google.com/maps/search/Samanda+Motor/@-6.5754512,111.0427833,17z</t>
  </si>
  <si>
    <t>Samanda Motor</t>
  </si>
  <si>
    <t>https://www.google.com/maps/search/Roda+Mulia/@-6.8653973,109.1335571,17z</t>
  </si>
  <si>
    <t>Roda Mulia</t>
  </si>
  <si>
    <t>https://www.google.com/maps/search/Roda+Jaya/@-7.0182702,110.3381837,17z</t>
  </si>
  <si>
    <t>Roda Jaya</t>
  </si>
  <si>
    <t>https://www.google.com/maps/search/Rizka+Jaya/@-6.8866835,110.6534136,17z</t>
  </si>
  <si>
    <t>Rizka Jaya</t>
  </si>
  <si>
    <t>https://www.google.com/maps/search/CV.+Rahmat/@-7.8000546,110.3564858,17z</t>
  </si>
  <si>
    <t>CV. Rahmat</t>
  </si>
  <si>
    <t>https://www.google.com/maps/search/Putra+Mataram/@-7.3935689,109.9668567,17z</t>
  </si>
  <si>
    <t>Putra Mataram</t>
  </si>
  <si>
    <t>https://www.google.com/maps/search/Pitstop/@-7.6004253,110.8138109,17z</t>
  </si>
  <si>
    <t>Pitstop</t>
  </si>
  <si>
    <t>https://www.google.com/maps/search/New+Rajawali+Motor/@-7.6653611,109.6614943,17z</t>
  </si>
  <si>
    <t>New Rajawali Motor</t>
  </si>
  <si>
    <t>https://www.google.com/maps/search/New+Mupakat/@-6.8226418,110.835677,17z</t>
  </si>
  <si>
    <t>New Mupakat</t>
  </si>
  <si>
    <t>https://www.google.com/maps/search/Mataram+Ban/@-6.96966,110.43275,17z</t>
  </si>
  <si>
    <t>Mataram Ban</t>
  </si>
  <si>
    <t>https://www.google.com/maps/search/Mataram+Ban/@-7.1054417,110.2808026,17z</t>
  </si>
  <si>
    <t>https://www.google.com/maps/search/Putra+Sempurna+Ban/@-7.4676568,110.2174579,17z</t>
  </si>
  <si>
    <t>Putra Sempurna Ban</t>
  </si>
  <si>
    <t>https://www.google.com/maps/search/Maju+Sempurna+Ban/@-7.5062365,110.2185389,17z</t>
  </si>
  <si>
    <t>Maju Sempurna Ban</t>
  </si>
  <si>
    <t>https://www.google.com/maps/search/Maju+Jaya/@-7.725053,109.005503,17z</t>
  </si>
  <si>
    <t>Maju Jaya</t>
  </si>
  <si>
    <t>https://www.google.com/maps/search/Madju+Sari+Ban/@-6.86553,109.013312,17z</t>
  </si>
  <si>
    <t>Madju Sari Ban</t>
  </si>
  <si>
    <t>https://www.google.com/maps/search/Madju+Sari+Ban/@-7.975046,110.610353,17z</t>
  </si>
  <si>
    <t>https://www.google.com/maps/search/LPY+Ban/@-6.9756397,110.4128756,17z</t>
  </si>
  <si>
    <t>LPY Ban</t>
  </si>
  <si>
    <t>https://www.google.com/maps/search/Lestari+Motor/@-7.3928807,109.7001401,17z</t>
  </si>
  <si>
    <t>Lestari Motor</t>
  </si>
  <si>
    <t>https://www.google.com/maps/search/Karanganyar+Ban/@-7.599818,110.954757,17z</t>
  </si>
  <si>
    <t>Karanganyar Ban</t>
  </si>
  <si>
    <t>https://www.google.com/maps/search/Jogja+Speed/@-7.7687041,110.3615761,17z</t>
  </si>
  <si>
    <t>Jogja Speed</t>
  </si>
  <si>
    <t>https://www.google.com/maps/search/Istana+Ban/@-6.8059897,110.8959016,17z</t>
  </si>
  <si>
    <t>Istana Ban</t>
  </si>
  <si>
    <t>https://www.google.com/maps/search/Gunawan+Motor/@-7.388715,109.3583389,17z</t>
  </si>
  <si>
    <t>Gunawan Motor</t>
  </si>
  <si>
    <t>https://www.google.com/maps/search/Kharisma+Makmur+Abadi/@-7.5484242,110.7319291,17z</t>
  </si>
  <si>
    <t>https://www.google.com/maps/search/Kharisma+Makmur+Abadi/@-7.4386369,109.2441337,17z</t>
  </si>
  <si>
    <t>https://www.google.com/maps/search/Dunlop+Truck+Center/@-7.011921,110.4762208,17z</t>
  </si>
  <si>
    <t>Dunlop Truck Center</t>
  </si>
  <si>
    <t>https://www.google.com/maps/search/Auto+Banindo+Graha/@-7.699432,110.615036,17z</t>
  </si>
  <si>
    <t>Auto Banindo Graha</t>
  </si>
  <si>
    <t>https://www.google.com/maps/search/Arga+Ban/@-6.9872301,110.416446,17z</t>
  </si>
  <si>
    <t>Arga Ban</t>
  </si>
  <si>
    <t>https://www.google.com/maps/search/Abadi+Ban/@-6.7342808,111.3544156,17z</t>
  </si>
  <si>
    <t>https://www.google.com/maps/search/PT.+Sutan+Kasim+Jambi/@-1.6131442,103.6254273,17z</t>
  </si>
  <si>
    <t>PT. Sutan Kasim Jambi</t>
  </si>
  <si>
    <t>https://www.google.com/maps/search/Milenium+Ban/@-1.618738,103.5970049,17z</t>
  </si>
  <si>
    <t>Milenium Ban</t>
  </si>
  <si>
    <t>https://www.google.com/maps/search/Mega+Jaya+Ban/@-1.5989928,103.6275882,17z</t>
  </si>
  <si>
    <t>Mega Jaya Ban</t>
  </si>
  <si>
    <t>https://www.google.com/maps/search/Klinik+Ban/@-1.6062604,103.6486264,17z</t>
  </si>
  <si>
    <t>Klinik Ban</t>
  </si>
  <si>
    <t>https://www.google.com/maps/search/Utama+Variasi/@-6.2575176,107.0413654,17z</t>
  </si>
  <si>
    <t>Utama Variasi</t>
  </si>
  <si>
    <t>https://www.google.com/maps/search/Lancar+Jaya+Ban+2/@-6.1727442,106.8609618,17z</t>
  </si>
  <si>
    <t>Lancar Jaya Ban 2</t>
  </si>
  <si>
    <t>https://www.google.com/maps/search/Lautan+Ban+Suvarna+Sutera/@-6.1994836,106.5148551,17z</t>
  </si>
  <si>
    <t>Lautan Ban Suvarna Sutera</t>
  </si>
  <si>
    <t>https://www.google.com/maps/search/Paramita+Ban/@-6.140198,106.8555513,17z</t>
  </si>
  <si>
    <t>https://www.google.com/maps/search/Multi+Ban/@-6.153461,106.984268,17z</t>
  </si>
  <si>
    <t>Multi Ban</t>
  </si>
  <si>
    <t>https://www.google.com/maps/search/Andala+-+Sektor+3/@-6.269099,106.737141,17z</t>
  </si>
  <si>
    <t>Andala - Sektor 3</t>
  </si>
  <si>
    <t>https://www.google.com/maps/search/Century+Ban/@-6.1974005,106.7651069,17z</t>
  </si>
  <si>
    <t>Century Ban</t>
  </si>
  <si>
    <t>https://www.google.com/maps/search/Rahayu+Motor+2/@-6.5595915,106.6894277,17z</t>
  </si>
  <si>
    <t>Rahayu Motor 2</t>
  </si>
  <si>
    <t>https://www.google.com/maps/search/Trijaya+Ban+-+Cibubur/@-6.3759139,106.9176149,17z</t>
  </si>
  <si>
    <t>Trijaya Ban - Cibubur</t>
  </si>
  <si>
    <t>DS/JABO-67</t>
  </si>
  <si>
    <t>https://www.google.com/maps/search/Wijaya+Motor/@-6.5568213,106.7764459,17z</t>
  </si>
  <si>
    <t>Wijaya Motor</t>
  </si>
  <si>
    <t>DS/JABO-65</t>
  </si>
  <si>
    <t>https://www.google.com/maps/search/Velindo+Ban/@-6.1573167,106.7592757,17z</t>
  </si>
  <si>
    <t>Velindo Ban</t>
  </si>
  <si>
    <t>DS/JABO-64</t>
  </si>
  <si>
    <t>https://www.google.com/maps/search/Eiko+Mobil+-+Klp.+Gading/@-6.238593,106.6335288,17z</t>
  </si>
  <si>
    <t>Eiko Mobil - Klp. Gading</t>
  </si>
  <si>
    <t>https://www.google.com/maps/search/Eiko+Mobil+-+Klp.+Puan/@-6.2314821,106.6285784,17z</t>
  </si>
  <si>
    <t>Eiko Mobil - Klp. Puan</t>
  </si>
  <si>
    <t>https://www.google.com/maps/search/Trijaya+Ban/@-6.4786852,106.8546293,17z</t>
  </si>
  <si>
    <t>https://www.google.com/maps/search/Tri+22/@-6.2270399,106.866986,17z</t>
  </si>
  <si>
    <t>Tri 22</t>
  </si>
  <si>
    <t>https://www.google.com/maps/search/Sumber+Makmur/@-6.125621,106.2315093,17z</t>
  </si>
  <si>
    <t>Sumber Makmur</t>
  </si>
  <si>
    <t>https://www.google.com/maps/search/Sumber+Agung+Ban/@-6.3822398,105.8355904,17z</t>
  </si>
  <si>
    <t>Sumber Agung Ban</t>
  </si>
  <si>
    <t>https://www.google.com/maps/search/Subur+Motor+-+Cileungsi/@-6.4088549,106.9812225,17z</t>
  </si>
  <si>
    <t>Subur Motor - Cileungsi</t>
  </si>
  <si>
    <t>https://www.google.com/maps/search/Subur+Motor+-+Kosambi/@-6.3661659,107.3657411,17z</t>
  </si>
  <si>
    <t>Subur Motor - Kosambi</t>
  </si>
  <si>
    <t>https://www.google.com/maps/search/Subur+Makmur+Ban/@-6.437872,106.851927,17z</t>
  </si>
  <si>
    <t>Subur Makmur Ban</t>
  </si>
  <si>
    <t>https://www.google.com/maps/search/Sinar+Karawang/@-6.3095145,107.2975322,17z</t>
  </si>
  <si>
    <t>Sinar Karawang</t>
  </si>
  <si>
    <t>https://www.google.com/maps/search/Raperind+Motor/@-6.2227574,106.9235744,17z</t>
  </si>
  <si>
    <t>Raperind Motor</t>
  </si>
  <si>
    <t>https://www.google.com/maps/search/Rajawali+Ban/@-6.1183692,106.7878837,17z</t>
  </si>
  <si>
    <t>Rajawali Ban</t>
  </si>
  <si>
    <t>https://www.google.com/maps/search/Rahayu+Motor/@-6.56659,106.597522,17z</t>
  </si>
  <si>
    <t>Rahayu Motor</t>
  </si>
  <si>
    <t>https://www.google.com/maps/search/Pit+Stop+3/@-6.2970686,106.6818534,17z</t>
  </si>
  <si>
    <t>Pit Stop 3</t>
  </si>
  <si>
    <t>https://www.google.com/maps/search/Otopac/@-6.31538,107.0034179,17z</t>
  </si>
  <si>
    <t>Otopac</t>
  </si>
  <si>
    <t>https://www.google.com/maps/search/OTO+Zone/@-6.3314712,107.1446525,17z</t>
  </si>
  <si>
    <t>OTO Zone</t>
  </si>
  <si>
    <t>https://www.google.com/maps/search/Nasional+Jaya+Ban/@-6.1954638,106.7392758,17z</t>
  </si>
  <si>
    <t>Nasional Jaya Ban</t>
  </si>
  <si>
    <t>https://www.google.com/maps/search/Murah+Ban+Putra/@-6.2104429,106.3889307,17z</t>
  </si>
  <si>
    <t>Murah Ban Putra</t>
  </si>
  <si>
    <t>https://www.google.com/maps/search/Mekar+Jaya+Ban/@-6.264305,107.1374214,17z</t>
  </si>
  <si>
    <t>Mekar Jaya Ban</t>
  </si>
  <si>
    <t>https://www.google.com/maps/search/Masteroda/@-6.173938,106.658192,17z</t>
  </si>
  <si>
    <t>Masteroda</t>
  </si>
  <si>
    <t>https://www.google.com/maps/search/Lancar+Jaya+Ban/@-6.1750115,106.8495918,17z</t>
  </si>
  <si>
    <t>Lancar Jaya Ban</t>
  </si>
  <si>
    <t>https://www.google.com/maps/search/Kian+Mandiri+Motor/@-6.1481588,106.9113329,17z</t>
  </si>
  <si>
    <t>Kian Mandiri Motor</t>
  </si>
  <si>
    <t>https://www.google.com/maps/search/Kemala+Ban/@-6.2173363,106.7605662,17z</t>
  </si>
  <si>
    <t>Kemala Ban</t>
  </si>
  <si>
    <t>https://www.google.com/maps/search/Jatiwaringin+Auto+Tyre/@-6.2770509,106.9131326,17z</t>
  </si>
  <si>
    <t>Jatiwaringin Auto Tyre</t>
  </si>
  <si>
    <t>https://www.google.com/maps/search/Istana+Ban/@-6.52683,106.765408,17z</t>
  </si>
  <si>
    <t>https://www.google.com/maps/search/Harapan+Indah+Ban/@-6.1809426,106.9828228,17z</t>
  </si>
  <si>
    <t>Harapan Indah Ban</t>
  </si>
  <si>
    <t>https://www.google.com/maps/search/Fortuna+Auto+Service/@-6.0381818,106.0877167,17z</t>
  </si>
  <si>
    <t>Fortuna Auto Service</t>
  </si>
  <si>
    <t>https://www.google.com/maps/search/Ferrari+Auselindo+Motor/@-6.122278,106.1724553,17z</t>
  </si>
  <si>
    <t>Ferrari Auselindo Motor</t>
  </si>
  <si>
    <t>https://www.google.com/maps/search/Factory+Ban/@-6.3408092,106.8693898,17z</t>
  </si>
  <si>
    <t>Factory Ban</t>
  </si>
  <si>
    <t>https://www.google.com/maps/search/Espede+Ban+-+Rawamangun/@-6.193032,106.884944,17z</t>
  </si>
  <si>
    <t>Espede Ban - Rawamangun</t>
  </si>
  <si>
    <t>https://www.google.com/maps/search/Espede+Ban+-+Bekasi/@-6.2608878,106.9977106,17z</t>
  </si>
  <si>
    <t>Espede Ban - Bekasi</t>
  </si>
  <si>
    <t>https://www.google.com/maps/search/Eka+Mandiri+Jaya+Ban/@-6.0448348,106.0749845,17z</t>
  </si>
  <si>
    <t>Eka Mandiri Jaya Ban</t>
  </si>
  <si>
    <t>https://www.google.com/maps/search/Eka+Jaya+Group+(Caman)/@-6.2496841,106.9541004,17z</t>
  </si>
  <si>
    <t>Eka Jaya Group (Caman)</t>
  </si>
  <si>
    <t>https://www.google.com/maps/search/Eka+Jaya+Group/@-6.2963827,107.3260678,17z</t>
  </si>
  <si>
    <t>Eka Jaya Group</t>
  </si>
  <si>
    <t>https://www.google.com/maps/search/Dua+Sekawan+2/@-6.2063751,106.9780013,17z</t>
  </si>
  <si>
    <t>Dua Sekawan 2</t>
  </si>
  <si>
    <t>https://www.google.com/maps/search/CV.+Pitstop+Karawaci/@-6.2227659,106.6192447,17z</t>
  </si>
  <si>
    <t>CV. Pitstop Karawaci</t>
  </si>
  <si>
    <t>https://www.google.com/maps/search/Ciputat+Tire+Center/@-6.3118596,106.7531006,17z</t>
  </si>
  <si>
    <t>Ciputat Tire Center</t>
  </si>
  <si>
    <t>https://www.google.com/maps/search/Auto+Ban/@-6.2389189,106.6463196,17z</t>
  </si>
  <si>
    <t>Auto Ban</t>
  </si>
  <si>
    <t>https://www.google.com/maps/search/Andre+Motor+4/@-6.1310955,106.1605423,17z</t>
  </si>
  <si>
    <t>Andre Motor 4</t>
  </si>
  <si>
    <t>https://www.google.com/maps/search/Andre+Motor+3/@-6.100333,106.155232,17z</t>
  </si>
  <si>
    <t>Andre Motor 3</t>
  </si>
  <si>
    <t>https://www.google.com/maps/search/Andre+Motor+2/@-6.1105709,106.1440353,17z</t>
  </si>
  <si>
    <t>Andre Motor 2</t>
  </si>
  <si>
    <t>https://www.google.com/maps/search/Andre+Motor+1/@-6.1197787,106.1996838,17z</t>
  </si>
  <si>
    <t>Andre Motor 1</t>
  </si>
  <si>
    <t>https://www.google.com/maps/search/Andala+-+Bintaro/@-6.2801162,106.7155548,17z</t>
  </si>
  <si>
    <t>Andala - Bintaro</t>
  </si>
  <si>
    <t>https://www.google.com/maps/search/Andala+-+Graha+Raya/@-6.2453119,106.6712049,17z</t>
  </si>
  <si>
    <t>Andala - Graha Raya</t>
  </si>
  <si>
    <t>https://www.google.com/maps/search/Andala+-+Cinere/@-6.3305684,106.783598,17z</t>
  </si>
  <si>
    <t>Andala - Cinere</t>
  </si>
  <si>
    <t>https://www.google.com/maps/search/Andala+-+Gading+Serpong/@-6.2585838,106.6195675,17z</t>
  </si>
  <si>
    <t>Andala - Gading Serpong</t>
  </si>
  <si>
    <t>https://www.google.com/maps/search/Sa+Hidayah+Motor/@-7.1891284,108.3726714,17z</t>
  </si>
  <si>
    <t>Sa Hidayah Motor</t>
  </si>
  <si>
    <t>https://www.google.com/maps/search/Auto+Subur/@-6.9644362,107.6379887,17z</t>
  </si>
  <si>
    <t>Auto Subur</t>
  </si>
  <si>
    <t>https://www.google.com/maps/search/Tiga+Manunggal/@-6.7185882,108.5602305,17z</t>
  </si>
  <si>
    <t>Tiga Manunggal</t>
  </si>
  <si>
    <t>https://www.google.com/maps/search/Surya+Jaya+Ban/@-6.7538712,107.0464988,17z</t>
  </si>
  <si>
    <t>Surya Jaya Ban</t>
  </si>
  <si>
    <t>https://www.google.com/maps/search/Surya+Jaya+2/@-6.9659274,107.5716988,17z</t>
  </si>
  <si>
    <t>Surya Jaya 2</t>
  </si>
  <si>
    <t>https://www.google.com/maps/search/Suci+Ban/@-6.94443,107.757854,17z</t>
  </si>
  <si>
    <t>Suci Ban</t>
  </si>
  <si>
    <t>https://www.google.com/maps/search/Subur+Ban/@-6.9378895,107.5991438,17z</t>
  </si>
  <si>
    <t>https://www.google.com/maps/search/DC+Project/@-6.9306693,107.5880966,17z</t>
  </si>
  <si>
    <t>DC Project</t>
  </si>
  <si>
    <t>https://www.google.com/maps/search/Star+Subur/@-6.9422386,107.5838662,17z</t>
  </si>
  <si>
    <t>Star Subur</t>
  </si>
  <si>
    <t>https://www.google.com/maps/search/SM+Ban+(2)/@-6.8420761,107.9377943,17z</t>
  </si>
  <si>
    <t>SM Ban (2)</t>
  </si>
  <si>
    <t>https://www.google.com/maps/search/SM+Ban/@-6.831333,107.9221408,17z</t>
  </si>
  <si>
    <t>SM Ban</t>
  </si>
  <si>
    <t>https://www.google.com/maps/search/Selamat+Auto+Care/@-6.929308,107.5761104,17z</t>
  </si>
  <si>
    <t>Selamat Auto Care</t>
  </si>
  <si>
    <t>https://www.google.com/maps/search/Raja+Ban/@-6.9192891,107.5925856,17z</t>
  </si>
  <si>
    <t>Raja Ban</t>
  </si>
  <si>
    <t>https://www.google.com/maps/search/Raja+Auto+Tyre/@-6.8959773,107.5420268,17z</t>
  </si>
  <si>
    <t>Raja Auto Tyre</t>
  </si>
  <si>
    <t>https://www.google.com/maps/search/Putra+Subur+Ban/@-7.3454243,108.2179331,17z</t>
  </si>
  <si>
    <t>Putra Subur Ban</t>
  </si>
  <si>
    <t>https://www.google.com/maps/search/HDP+Auto+World/@-7.2267724,107.9122311,17z</t>
  </si>
  <si>
    <t>HDP Auto World</t>
  </si>
  <si>
    <t>https://www.google.com/maps/search/Perkasa+Jaya/@-7.0402437,107.725964,17z</t>
  </si>
  <si>
    <t>Perkasa Jaya</t>
  </si>
  <si>
    <t>https://www.google.com/maps/search/Mutiara+Jaya+Ban/@-6.5734854,107.7575012,17z</t>
  </si>
  <si>
    <t>Mutiara Jaya Ban</t>
  </si>
  <si>
    <t>https://www.google.com/maps/search/Mekar+Putra+Ban/@-6.8760052,107.5974968,17z</t>
  </si>
  <si>
    <t>Mekar Putra Ban</t>
  </si>
  <si>
    <t>https://www.google.com/maps/search/Makin+Makmur+2/@-6.940649,107.472433,17z</t>
  </si>
  <si>
    <t>Makin Makmur 2</t>
  </si>
  <si>
    <t>https://www.google.com/maps/search/Makin+Makmur/@-6.8685757,107.5244067,17z</t>
  </si>
  <si>
    <t>Makin Makmur</t>
  </si>
  <si>
    <t>https://www.google.com/maps/search/Maju+Ban/@-7.332002,108.3627193,17z</t>
  </si>
  <si>
    <t>Maju Ban</t>
  </si>
  <si>
    <t>https://www.google.com/maps/search/Libra+Variasi/@-6.7109858,108.5424162,17z</t>
  </si>
  <si>
    <t>Libra Variasi</t>
  </si>
  <si>
    <t>https://www.google.com/maps/search/Laju+Jaya+Prima+(2)/@-7.04332,107.5560244,17z</t>
  </si>
  <si>
    <t>Laju Jaya Prima (2)</t>
  </si>
  <si>
    <t>https://www.google.com/maps/search/Laju+Jaya+Prima/@-7.0439308,107.5928644,17z</t>
  </si>
  <si>
    <t>Laju Jaya Prima</t>
  </si>
  <si>
    <t>https://www.google.com/maps/search/Karya+Usaha/@-6.7154577,108.5555492,17z</t>
  </si>
  <si>
    <t>Karya Usaha</t>
  </si>
  <si>
    <t>https://www.google.com/maps/search/HSB+Ban/@-7.2832156,108.1981089,17z</t>
  </si>
  <si>
    <t>HSB Ban</t>
  </si>
  <si>
    <t>https://www.google.com/maps/search/Harapan+Jaya+Ban/@-7.10256,107.468635,17z</t>
  </si>
  <si>
    <t>Harapan Jaya Ban</t>
  </si>
  <si>
    <t>https://www.google.com/maps/search/GPS/@-7.2095474,107.8989671,17z</t>
  </si>
  <si>
    <t>https://www.google.com/maps/search/Formula+Tires/@-6.9172331,107.6117965,17z</t>
  </si>
  <si>
    <t>Formula Tires</t>
  </si>
  <si>
    <t>https://www.google.com/maps/search/Darma+Ban/@-6.9319677,107.7143608,17z</t>
  </si>
  <si>
    <t>Darma Ban</t>
  </si>
  <si>
    <t>https://www.google.com/maps/search/Anugrah+Ban/@-6.8321236,108.2092436,17z</t>
  </si>
  <si>
    <t>Anugrah Ban</t>
  </si>
  <si>
    <t>https://www.google.com/maps/search/Aneka+Ban/@-6.5171924,107.4510144,17z</t>
  </si>
  <si>
    <t>Aneka Ban</t>
  </si>
  <si>
    <t>https://www.google.com/maps/search/Agus+Lio+Ban+Pagaden/@-6.4613949,107.8102979,17z</t>
  </si>
  <si>
    <t>Agus Lio Ban Pagaden</t>
  </si>
  <si>
    <t>https://www.google.com/maps/search/Agus+Lio+Ban+Kalijati/@-6.5265667,107.680275,17z</t>
  </si>
  <si>
    <t>Agus Lio Ban Kalijati</t>
  </si>
  <si>
    <t>https://www.google.com/maps/search/Agoes+Ban/@-7.0143615,107.8770558,17z</t>
  </si>
  <si>
    <t>Agoes Ban</t>
  </si>
  <si>
    <t>https://www.google.com/maps/search/Sinar+Oli/@-4.4665383,102.9061541,17z</t>
  </si>
  <si>
    <t>Sinar Oli</t>
  </si>
  <si>
    <t>https://www.google.com/maps/search/Pt.+Sutan+Kasim+Bengkulu/@-3.8071767,102.2805682,17z</t>
  </si>
  <si>
    <t>Pt. Sutan Kasim Bengkulu</t>
  </si>
  <si>
    <t>https://www.google.com/maps/search/Karya+Remaja/@-3.824966,102.3018435,17z</t>
  </si>
  <si>
    <t>Karya Remaja</t>
  </si>
  <si>
    <t>https://www.google.com/maps/search/Indo+Super+Lyra+Jaya/@-3.8123619,102.2941437,17z</t>
  </si>
  <si>
    <t>Indo Super Lyra Jaya</t>
  </si>
  <si>
    <t>https://www.google.com/maps/search/Bintang+Motor/@-4.4644042,102.9115556,17z</t>
  </si>
  <si>
    <t>Bintang Motor</t>
  </si>
  <si>
    <t>https://www.google.com/maps/search/PT.+Sutan+Kasim+Batam/@1.133376,104.0404059,17z</t>
  </si>
  <si>
    <t>PT. Sutan Kasim Batam</t>
  </si>
  <si>
    <t>https://www.google.com/maps/search/Budi+Mandiri+2/@1.1244127,104.0981638,17z</t>
  </si>
  <si>
    <t>Budi Mandiri 2</t>
  </si>
  <si>
    <t>https://www.google.com/maps/search/Batam+Tunggal+Mandiri/@1.135608,104.0287589,17z</t>
  </si>
  <si>
    <t>Batam Tunggal Mandiri</t>
  </si>
  <si>
    <t>https://www.google.com/maps/search/Auto+Ban/@1.135319,104.0023018,17z</t>
  </si>
  <si>
    <t>https://www.google.com/maps/search/Dewata+Ban+(2)/@-8.5367418,115.3341062,17z</t>
  </si>
  <si>
    <t>Dewata Ban (2)</t>
  </si>
  <si>
    <t>https://www.google.com/maps/search/UD.+Indo+Raya/@-8.6683513,115.2058436,17z</t>
  </si>
  <si>
    <t>UD. Indo Raya</t>
  </si>
  <si>
    <t>https://www.google.com/maps/search/UD.+Timbul+Variasi/@-8.6382689,115.2542827,17z</t>
  </si>
  <si>
    <t>UD. Timbul Variasi</t>
  </si>
  <si>
    <t>https://www.google.com/maps/search/Tribert/@-8.1259874,115.0670006,17z</t>
  </si>
  <si>
    <t>Tribert</t>
  </si>
  <si>
    <t>https://www.google.com/maps/search/Paramita+Ban/@-8.6426452,115.2091237,17z</t>
  </si>
  <si>
    <t>https://www.google.com/maps/search/OTO+7+Criya/@-8.6387983,115.2048118,17z</t>
  </si>
  <si>
    <t>OTO 7 Criya</t>
  </si>
  <si>
    <t>https://www.google.com/maps/search/Oscar+Variasi+Sanur/@-8.6868403,115.2589855,17z</t>
  </si>
  <si>
    <t>Oscar Variasi Sanur</t>
  </si>
  <si>
    <t>https://www.google.com/maps/search/Oscar+Variasi/@-8.6835419,115.1954887,17z</t>
  </si>
  <si>
    <t>Oscar Variasi</t>
  </si>
  <si>
    <t>DS/BALI-08</t>
  </si>
  <si>
    <t>https://www.google.com/maps/search/UD.+Nanda+Putri/@-8.6362586,115.2849903,17z</t>
  </si>
  <si>
    <t>UD. Nanda Putri</t>
  </si>
  <si>
    <t>https://www.google.com/maps/search/Kawi+Yasa+Motor/@-8.7861835,115.2039969,17z</t>
  </si>
  <si>
    <t>Kawi Yasa Motor</t>
  </si>
  <si>
    <t>https://www.google.com/maps/search/Dinda+Putra/@-8.6357719,115.2330412,17z</t>
  </si>
  <si>
    <t>Dinda Putra</t>
  </si>
  <si>
    <t>https://www.google.com/maps/search/Dewata+Ban/@-8.5260567,115.2945248,17z</t>
  </si>
  <si>
    <t>Dewata Ban</t>
  </si>
  <si>
    <t>https://www.google.com/maps/search/Cemerlang+Variasi/@-8.649172,115.228612,17z</t>
  </si>
  <si>
    <t>Cemerlang Variasi</t>
  </si>
  <si>
    <t>https://www.google.com/maps/search/Baru+Motor/@-8.5504274,115.3760277,17z</t>
  </si>
  <si>
    <t>Baru Motor</t>
  </si>
  <si>
    <t>https://www.google.com/maps/search/Bali+Raya/@-8.5381109,115.1202786,17z</t>
  </si>
  <si>
    <t>Bali Raya</t>
  </si>
  <si>
    <t>https://www.google.com/maps/search/Adi+Putra/@-8.6160196,115.2541142,17z</t>
  </si>
  <si>
    <t>Adi Putra</t>
  </si>
  <si>
    <t>https://www.google.com/maps/search/Martin+Motor/@-2.1421924,106.1001594,17z</t>
  </si>
  <si>
    <t>Martin Motor</t>
  </si>
  <si>
    <t>https://www.google.com/maps/search/Cempaka+Ban/@-2.1499584,106.1289211,17z</t>
  </si>
  <si>
    <t>Cempaka Ban</t>
  </si>
  <si>
    <t>https://www.google.com/maps/search/Sumber+Jadi/@-2.1470442,106.1124902,17z</t>
  </si>
  <si>
    <t>Sumber Jadi</t>
  </si>
  <si>
    <t>https://www.google.com/maps/search/Lavinmar+Ban/@-1.6471942,105.7909955,17z</t>
  </si>
  <si>
    <t>Lavinmar Ban</t>
  </si>
  <si>
    <t>https://www.google.com/maps/search/PT.+Sutan+Kasim+Aceh/@5.5112125,95.3454367,17z</t>
  </si>
  <si>
    <t>PT. Sutan Kasim Aceh</t>
  </si>
  <si>
    <t>https://www.google.com/maps/search/Mandiri+Ban/@5.2326395,96.9852858,17z</t>
  </si>
  <si>
    <t>Mandiri Ban</t>
  </si>
  <si>
    <t>https://www.google.com/maps/search/Mandiri+Ban/@5.5188033,95.330366,17z</t>
  </si>
  <si>
    <t>https://www.google.com/maps/search/Citra+Mobil/@4.1530319,96.1264618,17z</t>
  </si>
  <si>
    <t>Citra Mobil</t>
  </si>
  <si>
    <t>https://www.google.com/maps/search/Arena+Ban/@5.546271,95.3300941,17z</t>
  </si>
  <si>
    <t>description</t>
  </si>
  <si>
    <t>google_maps_link</t>
  </si>
  <si>
    <t>longitude</t>
  </si>
  <si>
    <t>latitude</t>
  </si>
  <si>
    <t>name</t>
  </si>
  <si>
    <t>Column1</t>
  </si>
  <si>
    <t>Data Sumber</t>
  </si>
  <si>
    <t>https://www.google.com/maps/place/Safaraz+Ban/data=!4m2!3m1!1s0x0:0x9c0ab5df64994ad7?sa=X&amp;ved=1t:2428&amp;ictx=111</t>
  </si>
  <si>
    <t>https://maps.app.goo.gl/1p6TAEPtjNEqXN2z5</t>
  </si>
  <si>
    <t>https://maps.app.goo.gl/AzJrizebzgfhMPbd9</t>
  </si>
  <si>
    <t>https://maps.app.goo.gl/2TStRhuY3VDF2cRk8</t>
  </si>
  <si>
    <t>https://maps.app.goo.gl/UWsDNWZLR18ikk9U8</t>
  </si>
  <si>
    <t>https://maps.app.goo.gl/A7M4hEQUDKYcX1kT8</t>
  </si>
  <si>
    <t>https://maps.app.goo.gl/kAZhJvzLcbFnfhDN7</t>
  </si>
  <si>
    <t>https://maps.app.goo.gl/xAsHXSWa8B2Kdkyu5</t>
  </si>
  <si>
    <t>https://maps.app.goo.gl/mkXShSgoNoqME2uq8</t>
  </si>
  <si>
    <t>https://maps.app.goo.gl/YN1RzpmwABDXBsUE6</t>
  </si>
  <si>
    <t>https://maps.app.goo.gl/dwhmJjDyyVSzM9pq5</t>
  </si>
  <si>
    <t>https://maps.app.goo.gl/p7DLdKYxuxancZbQ7</t>
  </si>
  <si>
    <t>https://maps.app.goo.gl/bZSyqQXGT6K8tW4L6</t>
  </si>
  <si>
    <t>https://maps.app.goo.gl/VGXdPTWMKL3r6HXF9</t>
  </si>
  <si>
    <t>https://maps.app.goo.gl/1AwT12vWw9VwJd9h7</t>
  </si>
  <si>
    <t>https://maps.app.goo.gl/U4n6j1JAqAPyzBwL8</t>
  </si>
  <si>
    <t>https://maps.app.goo.gl/7Q9RkLrMMr2SeiVg8</t>
  </si>
  <si>
    <t>https://maps.app.goo.gl/kzP227gpviyYpmnM6</t>
  </si>
  <si>
    <t>https://maps.app.goo.gl/mNLYYGzBrkjDdoBJ7</t>
  </si>
  <si>
    <t>https://maps.app.goo.gl/iTSXc8G8K5K1okbL7</t>
  </si>
  <si>
    <t>https://maps.app.goo.gl/AfwbeSaPLBTAKdWf7</t>
  </si>
  <si>
    <t>https://maps.app.goo.gl/e1Q4voUukgAexEPo7</t>
  </si>
  <si>
    <t>https://maps.app.goo.gl/fweDzb5c53rN4G1i7</t>
  </si>
  <si>
    <t>https://maps.app.goo.gl/62MgpJDthh53t6WY7</t>
  </si>
  <si>
    <t>https://maps.app.goo.gl/pubtPescMxFi3ZPMA</t>
  </si>
  <si>
    <t>Location on Google Maps</t>
  </si>
  <si>
    <t>https://maps.app.goo.gl/rn2a7Z7gu5ZbLsJH6</t>
  </si>
  <si>
    <t>https://maps.app.goo.gl/c9McNEu787zd8HjX9</t>
  </si>
  <si>
    <t>https://maps.app.goo.gl/RgzRe26FHaYR9miNA</t>
  </si>
  <si>
    <t>https://maps.app.goo.gl/h4hHJpDx899ZBThq8</t>
  </si>
  <si>
    <t>https://maps.app.goo.gl/7aBcvBLeNxAFJJpV9</t>
  </si>
  <si>
    <t>https://maps.app.goo.gl/2Tbv4MVC9pwLiDuBA</t>
  </si>
  <si>
    <t>https://maps.app.goo.gl/uodLJiLTGQE9V6rf6</t>
  </si>
  <si>
    <t>Google Maps Location</t>
  </si>
  <si>
    <t>DATABASE FALKEN SHOP</t>
  </si>
  <si>
    <t>PAJAK REKLAME</t>
  </si>
  <si>
    <t>Kategori Toko</t>
  </si>
  <si>
    <t>ID Shop</t>
  </si>
  <si>
    <t>KOTA</t>
  </si>
  <si>
    <t>AREA</t>
  </si>
  <si>
    <t>OWNER</t>
  </si>
  <si>
    <t>Alamat KTP Owner</t>
  </si>
  <si>
    <t>NOMOR TLP</t>
  </si>
  <si>
    <t>Distributor</t>
  </si>
  <si>
    <t>Distributor Owner</t>
  </si>
  <si>
    <t>email</t>
  </si>
  <si>
    <t>Installasi</t>
  </si>
  <si>
    <t>Supplier</t>
  </si>
  <si>
    <t>Installation cost
(excl. tax)</t>
  </si>
  <si>
    <t>Periode Awal Pajak</t>
  </si>
  <si>
    <t>Periode Akhir Pajak</t>
  </si>
  <si>
    <t>SUPPLIER2</t>
  </si>
  <si>
    <t>Tax</t>
  </si>
  <si>
    <t>License</t>
  </si>
  <si>
    <t>Transport.</t>
  </si>
  <si>
    <t>Agency Fee</t>
  </si>
  <si>
    <t>PPN 10%</t>
  </si>
  <si>
    <t>Other cost</t>
  </si>
  <si>
    <t>Total Nilai Pajak</t>
  </si>
  <si>
    <t>Nama Toko</t>
  </si>
  <si>
    <t>Alamat</t>
  </si>
  <si>
    <t>Kota/Kab.</t>
  </si>
  <si>
    <t>Prov</t>
  </si>
  <si>
    <t>Papan</t>
  </si>
  <si>
    <t>Falken Shop</t>
  </si>
  <si>
    <t>FL/SUL-01</t>
  </si>
  <si>
    <t>PT. CHRISTA KARYA MANDIRI/ANEKA BAN/CV. TUNAS OTO PERKASA</t>
  </si>
  <si>
    <t>Jl. Jend. Sudirman No.36, Komo Luar, Wenang</t>
  </si>
  <si>
    <t>Christian</t>
  </si>
  <si>
    <t/>
  </si>
  <si>
    <t>0821 9132 6119</t>
  </si>
  <si>
    <t>PT. Stamford Tyres Distributor Indonesia</t>
  </si>
  <si>
    <t>Erwin Chua</t>
  </si>
  <si>
    <t>2016</t>
  </si>
  <si>
    <t>PT. CHRISTA KARYA MANDIRI</t>
  </si>
  <si>
    <t>Menado</t>
  </si>
  <si>
    <t>Ada</t>
  </si>
  <si>
    <t>FL/JTM-01</t>
  </si>
  <si>
    <t>SINAR BAN</t>
  </si>
  <si>
    <t>Jl. Panglima Sudirman No.51-53, Kediri</t>
  </si>
  <si>
    <t>Sutikno</t>
  </si>
  <si>
    <t>Jl. Letjen Haryono No.32 Kediri</t>
  </si>
  <si>
    <t>0354-4526000</t>
  </si>
  <si>
    <t>2018</t>
  </si>
  <si>
    <t>Jl. Panglima Sudirman No.51-53, Setono Pande</t>
  </si>
  <si>
    <t>FL/JTG-01</t>
  </si>
  <si>
    <t>Jl. Ringroad Utara, Nandan, Sariharjo, Ngaglik, Sleman - Yogyakarta 55581</t>
  </si>
  <si>
    <t>Sleman</t>
  </si>
  <si>
    <t>Yogjakarta</t>
  </si>
  <si>
    <t>Kartono</t>
  </si>
  <si>
    <t>'081225183009</t>
  </si>
  <si>
    <t>Elok Manis</t>
  </si>
  <si>
    <t>Jl. Ringroad Utara No.12, Sumberan, Sariharjo, Ngaglik</t>
  </si>
  <si>
    <t>FL/JTG-02</t>
  </si>
  <si>
    <t>Jl. Gatot Subroto 199-201, Solo, Jawa Tengah</t>
  </si>
  <si>
    <t>Solo</t>
  </si>
  <si>
    <t>dr. Felix Admaja</t>
  </si>
  <si>
    <t>081370001250</t>
  </si>
  <si>
    <t>MARI BAN DW</t>
  </si>
  <si>
    <t>Jl. Gatot Subroto 199-201, Jayengan, Serangan</t>
  </si>
  <si>
    <t>FL/JTG-03</t>
  </si>
  <si>
    <t>Jl. Tri Tunggal 2B Wirosaban Sorosutan, Kec. Umbulharjo, Kota Yogyakarta</t>
  </si>
  <si>
    <t>2023</t>
  </si>
  <si>
    <t>Jl. Tri Tunggal 2B Wirosaban, Sorosutan, Kec. Umbulharjo</t>
  </si>
  <si>
    <t>FL/BAL-01</t>
  </si>
  <si>
    <t>Jl. Gatot Subroto Timur No.177 A Tonja, Kec. Denpasar Utara, Kota Denpasar, Bali 80239</t>
  </si>
  <si>
    <t>Tjong Christian Jaya Santosa</t>
  </si>
  <si>
    <t>Jl. Kartini No.50 DPS Wangaya Kloo, Kel. Dauh Puri Raja, Kec. Denpasar Utara, Kota Denpasar, Bali 80239</t>
  </si>
  <si>
    <t>PT. Bali Buana Inti Ban</t>
  </si>
  <si>
    <t>Ryan Christian</t>
  </si>
  <si>
    <t>Falken Signboard</t>
  </si>
  <si>
    <t>SFL/JBO-02</t>
  </si>
  <si>
    <t>SURYA EMAS</t>
  </si>
  <si>
    <t xml:space="preserve">Jl. Taman Surya 3 Blok K1. No.11 </t>
  </si>
  <si>
    <t>Nurlela</t>
  </si>
  <si>
    <t>021-5419743/54376249</t>
  </si>
  <si>
    <t>Jl. Taman Surya 3 Blok K1. No.11, Cengkareng Barat, Kalideres</t>
  </si>
  <si>
    <t>SFL/JBO-03</t>
  </si>
  <si>
    <t>W2 STYLE</t>
  </si>
  <si>
    <t>Pasar Mobil Kemayoran Blok M No. 22-25</t>
  </si>
  <si>
    <t>Hendra</t>
  </si>
  <si>
    <t>Citra Garden Blok G 6 Kalideres</t>
  </si>
  <si>
    <t>081514005559</t>
  </si>
  <si>
    <t>2015</t>
  </si>
  <si>
    <t>Pasar Mobil Kemayoran Blok M No.22-25, Kemayoran</t>
  </si>
  <si>
    <t>SFL/JBO-04</t>
  </si>
  <si>
    <t>WW AUTOCARZ</t>
  </si>
  <si>
    <t>Jl. Gn. Sahari Raya No. 2, Jakarta-Pusat</t>
  </si>
  <si>
    <t>021-6299111</t>
  </si>
  <si>
    <t>Jl. Gn. Sahari Raya No.2, Gn. Sahari Utara, Kec. Sawah Besar</t>
  </si>
  <si>
    <t>SFL/JBO-05</t>
  </si>
  <si>
    <t>YULI JAYA BAN</t>
  </si>
  <si>
    <t>Jl. Gatot Subroto No.7</t>
  </si>
  <si>
    <t>Cikarang</t>
  </si>
  <si>
    <t>Pa. Yuli</t>
  </si>
  <si>
    <t>081310073964</t>
  </si>
  <si>
    <t>Jl. Gatot Subroto No.7, Tanjungsari, Cikarang Utara</t>
  </si>
  <si>
    <t>SFL/JTG-01</t>
  </si>
  <si>
    <t>BOY VELG</t>
  </si>
  <si>
    <t>Jl. Dewa Nyoman, Kios No.27, Kota Baru</t>
  </si>
  <si>
    <t>DI. Yogyakarta</t>
  </si>
  <si>
    <t>Boy</t>
  </si>
  <si>
    <t>0274 - 557203</t>
  </si>
  <si>
    <t>Jl. I Dewa Nyoman (Prau Fardian No. 29), Kotabaru, Gondokusuman</t>
  </si>
  <si>
    <t>SFL/JTM-01</t>
  </si>
  <si>
    <t>DUTA BAN AUDIO</t>
  </si>
  <si>
    <t>Jl. Undaan Wetan No.56</t>
  </si>
  <si>
    <t>Tan Tjia Sing</t>
  </si>
  <si>
    <t>031-5315000</t>
  </si>
  <si>
    <t>Jl. Undaan Wetan No.56, Kapasari, Genteng</t>
  </si>
  <si>
    <t>SFL/KLS-01</t>
  </si>
  <si>
    <t>BAROKAH MODIFICATION OTO CENTER</t>
  </si>
  <si>
    <t>Jl. A. Yani Km. 10 Banjarmasin, Kalimantan Selatan</t>
  </si>
  <si>
    <t>M. Roy</t>
  </si>
  <si>
    <t>0511-7509600</t>
  </si>
  <si>
    <t>2017</t>
  </si>
  <si>
    <t>Jl. Jend. A. Yani Km.10, Desa Sungai Lakum, Kertak Hanyar</t>
  </si>
  <si>
    <t>SFL/SMB-01</t>
  </si>
  <si>
    <t>PT. RINKAS SUKA UTAMA</t>
  </si>
  <si>
    <t>Jl. Ujung Gurun No. 83 Padang, Sumatera Barat - 25132</t>
  </si>
  <si>
    <t>Kezi Zulifan</t>
  </si>
  <si>
    <t>0751-8952229</t>
  </si>
  <si>
    <t>PT. Rinkas Suka Utama</t>
  </si>
  <si>
    <t>rinkassukautama@gmail.com</t>
  </si>
  <si>
    <t>Jl. Ujung Gurun No.83, Ujung Gurun, Padang Barat</t>
  </si>
  <si>
    <t>SFL/RIU-01</t>
  </si>
  <si>
    <t>Jl. SM. Amin No.89A Arengka II , Pekanbaru</t>
  </si>
  <si>
    <t>0761-5970196</t>
  </si>
  <si>
    <t>rinkassukautama.pku@gmail.com</t>
  </si>
  <si>
    <t>Jl. SM. Amin No.89A, Simpang Baru, Tampan</t>
  </si>
  <si>
    <t>SFL/SMS-01</t>
  </si>
  <si>
    <t>ASA ONTA BAN</t>
  </si>
  <si>
    <t>Jl. Veteran No.1361-1362, Ilir Timur II</t>
  </si>
  <si>
    <t>0711-310726</t>
  </si>
  <si>
    <t>Jl. Veteran No.1361-1362, Kec. Ilir Timur II</t>
  </si>
  <si>
    <t>SFL/JBO-01</t>
  </si>
  <si>
    <t>STAMFORD TYRES</t>
  </si>
  <si>
    <t>Ruko Kelapa Gading Boulevard Raya Blok Pa 19 No.4-5. Jl. Boulevard Raya, Kelapa Gading</t>
  </si>
  <si>
    <t>Jakarta</t>
  </si>
  <si>
    <t>021-4504388</t>
  </si>
  <si>
    <t>Ruko Kelapa Gading Boulevard Raya Blok PA 19 No.4-5. Jl. Boulevard Raya, Pegangsaan Dua, Kelapa Gading</t>
  </si>
  <si>
    <t>SFL/RIU-02</t>
  </si>
  <si>
    <t>HENDRA BAN</t>
  </si>
  <si>
    <t>Jl. Riau No. 4A Pekanbaru-Riau</t>
  </si>
  <si>
    <t>Hendra Kurniawan</t>
  </si>
  <si>
    <t>0853-75248877</t>
  </si>
  <si>
    <t>Cakrawala</t>
  </si>
  <si>
    <t>Jml Falken Shop</t>
  </si>
  <si>
    <t>Jml Falken Sign</t>
  </si>
  <si>
    <t>Open AI gpt-4.1-mini</t>
  </si>
  <si>
    <t>ID TOKO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</si>
</sst>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421]dd\ mmmm\ yyyy;@"/>
    <numFmt numFmtId="165" formatCode="yyyy\-mm\-dd;@"/>
  </numFmts>
  <fonts count="28" x14ac:knownFonts="1">
    <font>
      <sz val="11"/>
      <color theme="1"/>
      <name val="Calibri"/>
      <family val="2"/>
      <scheme val="minor"/>
    </font>
    <font>
      <sz val="10"/>
      <name val="Arial"/>
      <family val="2"/>
    </font>
    <font>
      <sz val="12"/>
      <name val="Arial"/>
      <family val="2"/>
    </font>
    <font>
      <b/>
      <u/>
      <sz val="14"/>
      <name val="Arial"/>
      <family val="2"/>
    </font>
    <font>
      <sz val="14"/>
      <name val="Arial"/>
      <family val="2"/>
    </font>
    <font>
      <b/>
      <sz val="12"/>
      <name val="Arial"/>
      <family val="2"/>
    </font>
    <font>
      <b/>
      <sz val="16"/>
      <name val="Arial"/>
      <family val="2"/>
    </font>
    <font>
      <u/>
      <sz val="11"/>
      <color theme="10"/>
      <name val="Calibri"/>
      <family val="2"/>
      <scheme val="minor"/>
    </font>
    <font>
      <b/>
      <sz val="9"/>
      <color indexed="81"/>
      <name val="Tahoma"/>
      <family val="2"/>
    </font>
    <font>
      <sz val="9"/>
      <color indexed="81"/>
      <name val="Tahoma"/>
      <family val="2"/>
    </font>
    <font>
      <b/>
      <sz val="10"/>
      <color indexed="81"/>
      <name val="Tahoma"/>
      <family val="2"/>
    </font>
    <font>
      <sz val="10"/>
      <color indexed="81"/>
      <name val="Tahoma"/>
      <family val="2"/>
    </font>
    <font>
      <b/>
      <sz val="11"/>
      <color indexed="81"/>
      <name val="Tahoma"/>
      <family val="2"/>
    </font>
    <font>
      <b/>
      <sz val="12"/>
      <name val="Arial Narrow"/>
      <family val="2"/>
    </font>
    <font>
      <sz val="12"/>
      <name val="Arial Narrow"/>
      <family val="2"/>
    </font>
    <font>
      <sz val="11"/>
      <color theme="1"/>
      <name val="Arial Narrow"/>
      <family val="2"/>
    </font>
    <font>
      <u/>
      <sz val="11"/>
      <color theme="10"/>
      <name val="Arial Narrow"/>
      <family val="2"/>
    </font>
    <font>
      <sz val="12"/>
      <color theme="1"/>
      <name val="Arial Narrow"/>
      <family val="2"/>
    </font>
    <font>
      <u/>
      <sz val="12"/>
      <name val="Arial Narrow"/>
      <family val="2"/>
    </font>
    <font>
      <sz val="11"/>
      <color theme="10"/>
      <name val="Arial Narrow"/>
      <family val="2"/>
    </font>
    <font>
      <sz val="11"/>
      <name val="Arial Narrow"/>
      <family val="2"/>
    </font>
    <font>
      <sz val="11"/>
      <color theme="1"/>
      <name val="Calibri"/>
      <family val="2"/>
      <scheme val="minor"/>
    </font>
    <font>
      <b/>
      <u/>
      <sz val="16"/>
      <color theme="0"/>
      <name val="Arial"/>
      <family val="2"/>
    </font>
    <font>
      <b/>
      <u/>
      <sz val="14"/>
      <color theme="0"/>
      <name val="Arial"/>
      <family val="2"/>
    </font>
    <font>
      <sz val="12"/>
      <color theme="0"/>
      <name val="Arial"/>
      <family val="2"/>
    </font>
    <font>
      <sz val="12"/>
      <color theme="1"/>
      <name val="Arial"/>
      <family val="2"/>
    </font>
    <font>
      <u/>
      <sz val="12"/>
      <color theme="10"/>
      <name val="Arial"/>
      <family val="2"/>
    </font>
    <font>
      <sz val="9"/>
      <color theme="1"/>
      <name val="Arial"/>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70C0"/>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9">
    <xf numFmtId="0" fontId="0" fillId="0" borderId="0"/>
    <xf numFmtId="0" fontId="1" fillId="0" borderId="0"/>
    <xf numFmtId="0" fontId="1" fillId="0" borderId="0"/>
    <xf numFmtId="0" fontId="7" fillId="0" borderId="0" applyNumberForma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21" fillId="0" borderId="0" applyFont="0" applyFill="0" applyBorder="0" applyAlignment="0" applyProtection="0"/>
  </cellStyleXfs>
  <cellXfs count="120">
    <xf numFmtId="0" fontId="0" fillId="0" borderId="0" xfId="0"/>
    <xf numFmtId="0" fontId="2" fillId="0" borderId="0" xfId="1" applyFont="1" applyFill="1" applyAlignment="1">
      <alignment horizontal="left" vertical="center"/>
    </xf>
    <xf numFmtId="0" fontId="3" fillId="2" borderId="0" xfId="1" applyFont="1" applyFill="1" applyAlignment="1">
      <alignment horizontal="left" vertical="center"/>
    </xf>
    <xf numFmtId="0" fontId="4" fillId="2" borderId="0" xfId="1" applyFont="1" applyFill="1" applyAlignment="1">
      <alignment horizontal="left" vertical="center"/>
    </xf>
    <xf numFmtId="0" fontId="2" fillId="0" borderId="0" xfId="1" applyNumberFormat="1" applyFont="1" applyFill="1" applyAlignment="1">
      <alignment horizontal="left" vertical="center"/>
    </xf>
    <xf numFmtId="0" fontId="2" fillId="0" borderId="0" xfId="1" applyFont="1" applyFill="1" applyBorder="1" applyAlignment="1">
      <alignment horizontal="left" vertical="center"/>
    </xf>
    <xf numFmtId="0" fontId="6" fillId="4" borderId="0" xfId="1" applyNumberFormat="1" applyFont="1" applyFill="1" applyAlignment="1">
      <alignment horizontal="center" vertical="center"/>
    </xf>
    <xf numFmtId="3" fontId="5" fillId="0" borderId="0" xfId="1" applyNumberFormat="1" applyFont="1" applyFill="1" applyBorder="1" applyAlignment="1">
      <alignment horizontal="left" vertical="center"/>
    </xf>
    <xf numFmtId="0" fontId="5" fillId="0" borderId="0" xfId="1" applyFont="1" applyFill="1" applyBorder="1" applyAlignment="1">
      <alignment horizontal="left" vertical="center"/>
    </xf>
    <xf numFmtId="0" fontId="5" fillId="0" borderId="0" xfId="1" applyFont="1" applyFill="1" applyAlignment="1">
      <alignment horizontal="left" vertical="center"/>
    </xf>
    <xf numFmtId="0" fontId="5" fillId="0" borderId="0" xfId="1" applyNumberFormat="1" applyFont="1" applyFill="1" applyAlignment="1">
      <alignment horizontal="left" vertical="center"/>
    </xf>
    <xf numFmtId="0" fontId="5" fillId="0" borderId="0" xfId="1" applyFont="1" applyFill="1" applyAlignment="1">
      <alignment horizontal="center" vertical="center" wrapText="1"/>
    </xf>
    <xf numFmtId="0" fontId="2" fillId="0" borderId="0" xfId="1" applyNumberFormat="1" applyFont="1" applyFill="1" applyBorder="1" applyAlignment="1">
      <alignment horizontal="left" vertical="center"/>
    </xf>
    <xf numFmtId="0" fontId="2" fillId="3" borderId="0" xfId="1" applyFont="1" applyFill="1" applyAlignment="1">
      <alignment horizontal="left" vertical="center"/>
    </xf>
    <xf numFmtId="0" fontId="2" fillId="3" borderId="0" xfId="1" applyFont="1" applyFill="1" applyBorder="1" applyAlignment="1">
      <alignment horizontal="left" vertical="center"/>
    </xf>
    <xf numFmtId="3" fontId="2" fillId="0" borderId="0" xfId="1" applyNumberFormat="1" applyFont="1" applyFill="1" applyBorder="1" applyAlignment="1">
      <alignment horizontal="left" vertical="center"/>
    </xf>
    <xf numFmtId="0" fontId="2" fillId="0" borderId="0" xfId="0" applyFont="1"/>
    <xf numFmtId="0" fontId="0" fillId="0" borderId="0" xfId="0" applyAlignment="1"/>
    <xf numFmtId="0" fontId="7" fillId="0" borderId="0" xfId="3"/>
    <xf numFmtId="3" fontId="13" fillId="2" borderId="3" xfId="1" applyNumberFormat="1" applyFont="1" applyFill="1" applyBorder="1" applyAlignment="1">
      <alignment horizontal="center" vertical="center" wrapText="1"/>
    </xf>
    <xf numFmtId="3" fontId="13" fillId="2" borderId="4" xfId="1" applyNumberFormat="1" applyFont="1" applyFill="1" applyBorder="1" applyAlignment="1">
      <alignment horizontal="center" vertical="center" wrapText="1"/>
    </xf>
    <xf numFmtId="0" fontId="13" fillId="0" borderId="4" xfId="1" applyFont="1" applyFill="1" applyBorder="1" applyAlignment="1">
      <alignment horizontal="center" vertical="center" wrapText="1"/>
    </xf>
    <xf numFmtId="3" fontId="13" fillId="2" borderId="5" xfId="1" applyNumberFormat="1" applyFont="1" applyFill="1" applyBorder="1" applyAlignment="1">
      <alignment horizontal="center" vertical="center" wrapText="1"/>
    </xf>
    <xf numFmtId="3" fontId="14" fillId="0" borderId="6" xfId="1" applyNumberFormat="1" applyFont="1" applyFill="1" applyBorder="1" applyAlignment="1">
      <alignment horizontal="left" vertical="center"/>
    </xf>
    <xf numFmtId="3" fontId="14" fillId="0" borderId="7" xfId="1" applyNumberFormat="1" applyFont="1" applyFill="1" applyBorder="1" applyAlignment="1">
      <alignment horizontal="left" vertical="center"/>
    </xf>
    <xf numFmtId="0" fontId="14" fillId="0" borderId="7" xfId="1" applyFont="1" applyFill="1" applyBorder="1" applyAlignment="1">
      <alignment horizontal="left" vertical="center"/>
    </xf>
    <xf numFmtId="0" fontId="14" fillId="0" borderId="7" xfId="1" quotePrefix="1" applyFont="1" applyFill="1" applyBorder="1" applyAlignment="1">
      <alignment horizontal="left" vertical="center"/>
    </xf>
    <xf numFmtId="0" fontId="15" fillId="0" borderId="7" xfId="0" applyFont="1" applyBorder="1"/>
    <xf numFmtId="0" fontId="14" fillId="0" borderId="7" xfId="1" applyFont="1" applyFill="1" applyBorder="1" applyAlignment="1">
      <alignment horizontal="center" vertical="center"/>
    </xf>
    <xf numFmtId="0" fontId="14" fillId="0" borderId="8" xfId="1" applyFont="1" applyFill="1" applyBorder="1" applyAlignment="1">
      <alignment horizontal="left" vertical="center"/>
    </xf>
    <xf numFmtId="0" fontId="14" fillId="0" borderId="7" xfId="1" applyNumberFormat="1" applyFont="1" applyFill="1" applyBorder="1" applyAlignment="1">
      <alignment horizontal="left" vertical="center"/>
    </xf>
    <xf numFmtId="0" fontId="16" fillId="2" borderId="8" xfId="3" applyFont="1" applyFill="1" applyBorder="1" applyAlignment="1">
      <alignment horizontal="left" vertical="center"/>
    </xf>
    <xf numFmtId="0" fontId="16" fillId="0" borderId="8" xfId="3" applyFont="1" applyFill="1" applyBorder="1" applyAlignment="1">
      <alignment horizontal="left" vertical="center"/>
    </xf>
    <xf numFmtId="0" fontId="14" fillId="0" borderId="7" xfId="2" applyFont="1" applyFill="1" applyBorder="1" applyAlignment="1">
      <alignment horizontal="left" vertical="center"/>
    </xf>
    <xf numFmtId="0" fontId="17" fillId="0" borderId="7" xfId="0" applyFont="1" applyFill="1" applyBorder="1" applyAlignment="1">
      <alignment horizontal="center" vertical="center"/>
    </xf>
    <xf numFmtId="22" fontId="14" fillId="0" borderId="7" xfId="1" applyNumberFormat="1" applyFont="1" applyFill="1" applyBorder="1" applyAlignment="1">
      <alignment horizontal="left" vertical="center"/>
    </xf>
    <xf numFmtId="0" fontId="18" fillId="0" borderId="7" xfId="3" applyFont="1" applyFill="1" applyBorder="1" applyAlignment="1">
      <alignment horizontal="left" vertical="center"/>
    </xf>
    <xf numFmtId="0" fontId="14" fillId="0" borderId="7" xfId="4" applyFont="1" applyFill="1" applyBorder="1" applyAlignment="1">
      <alignment horizontal="left" vertical="center"/>
    </xf>
    <xf numFmtId="0" fontId="14" fillId="0" borderId="7" xfId="1" quotePrefix="1" applyNumberFormat="1" applyFont="1" applyFill="1" applyBorder="1" applyAlignment="1">
      <alignment horizontal="center" vertical="center"/>
    </xf>
    <xf numFmtId="0" fontId="14" fillId="3" borderId="7" xfId="1" applyFont="1" applyFill="1" applyBorder="1" applyAlignment="1">
      <alignment horizontal="left" vertical="center"/>
    </xf>
    <xf numFmtId="0" fontId="14" fillId="0" borderId="7" xfId="5" applyFont="1" applyFill="1" applyBorder="1" applyAlignment="1">
      <alignment horizontal="left" vertical="center"/>
    </xf>
    <xf numFmtId="0" fontId="14" fillId="0" borderId="7" xfId="1" applyNumberFormat="1" applyFont="1" applyFill="1" applyBorder="1" applyAlignment="1">
      <alignment vertical="center"/>
    </xf>
    <xf numFmtId="0" fontId="14" fillId="0" borderId="7" xfId="1" quotePrefix="1" applyNumberFormat="1" applyFont="1" applyFill="1" applyBorder="1" applyAlignment="1">
      <alignment vertical="center"/>
    </xf>
    <xf numFmtId="0" fontId="14" fillId="0" borderId="7" xfId="2" applyNumberFormat="1" applyFont="1" applyFill="1" applyBorder="1" applyAlignment="1">
      <alignment horizontal="left" vertical="center"/>
    </xf>
    <xf numFmtId="0" fontId="14" fillId="0" borderId="7" xfId="1" quotePrefix="1" applyNumberFormat="1" applyFont="1" applyFill="1" applyBorder="1" applyAlignment="1">
      <alignment horizontal="left" vertical="center"/>
    </xf>
    <xf numFmtId="0" fontId="17" fillId="0" borderId="7" xfId="0" quotePrefix="1" applyFont="1" applyFill="1" applyBorder="1" applyAlignment="1">
      <alignment horizontal="center" vertical="center"/>
    </xf>
    <xf numFmtId="3" fontId="14" fillId="0" borderId="9" xfId="1" applyNumberFormat="1" applyFont="1" applyFill="1" applyBorder="1" applyAlignment="1">
      <alignment horizontal="left" vertical="center"/>
    </xf>
    <xf numFmtId="3" fontId="14" fillId="0" borderId="10" xfId="1" applyNumberFormat="1" applyFont="1" applyFill="1" applyBorder="1" applyAlignment="1">
      <alignment horizontal="left" vertical="center"/>
    </xf>
    <xf numFmtId="0" fontId="14" fillId="0" borderId="10" xfId="1" applyFont="1" applyFill="1" applyBorder="1" applyAlignment="1">
      <alignment horizontal="left" vertical="center"/>
    </xf>
    <xf numFmtId="0" fontId="14" fillId="0" borderId="10" xfId="1" quotePrefix="1" applyFont="1" applyFill="1" applyBorder="1" applyAlignment="1">
      <alignment horizontal="left" vertical="center"/>
    </xf>
    <xf numFmtId="0" fontId="15" fillId="0" borderId="10" xfId="0" applyFont="1" applyBorder="1"/>
    <xf numFmtId="0" fontId="14" fillId="0" borderId="10" xfId="1" applyFont="1" applyFill="1" applyBorder="1" applyAlignment="1">
      <alignment horizontal="center" vertical="center"/>
    </xf>
    <xf numFmtId="0" fontId="14" fillId="0" borderId="11" xfId="1" applyFont="1" applyFill="1" applyBorder="1" applyAlignment="1">
      <alignment horizontal="left" vertical="center"/>
    </xf>
    <xf numFmtId="0" fontId="15" fillId="0" borderId="0" xfId="0" applyFont="1"/>
    <xf numFmtId="3" fontId="13" fillId="0" borderId="1" xfId="1" applyNumberFormat="1" applyFont="1" applyFill="1" applyBorder="1" applyAlignment="1">
      <alignment horizontal="center" vertical="center" wrapText="1"/>
    </xf>
    <xf numFmtId="164" fontId="13" fillId="0" borderId="1" xfId="1" applyNumberFormat="1" applyFont="1" applyFill="1" applyBorder="1" applyAlignment="1">
      <alignment horizontal="center" vertical="center" wrapText="1"/>
    </xf>
    <xf numFmtId="0" fontId="14" fillId="0" borderId="1" xfId="1" applyNumberFormat="1" applyFont="1" applyFill="1" applyBorder="1" applyAlignment="1">
      <alignment horizontal="center" vertical="center"/>
    </xf>
    <xf numFmtId="0" fontId="14" fillId="0" borderId="1" xfId="1" applyNumberFormat="1" applyFont="1" applyFill="1" applyBorder="1" applyAlignment="1">
      <alignment horizontal="left" vertical="center"/>
    </xf>
    <xf numFmtId="0" fontId="14" fillId="0" borderId="1" xfId="1" applyNumberFormat="1" applyFont="1" applyFill="1" applyBorder="1" applyAlignment="1">
      <alignment vertical="center"/>
    </xf>
    <xf numFmtId="164" fontId="19" fillId="0" borderId="2" xfId="3" applyNumberFormat="1" applyFont="1" applyFill="1" applyBorder="1" applyAlignment="1">
      <alignment horizontal="center" vertical="center"/>
    </xf>
    <xf numFmtId="164" fontId="19" fillId="0" borderId="1" xfId="3" applyNumberFormat="1" applyFont="1" applyFill="1" applyBorder="1" applyAlignment="1">
      <alignment horizontal="center" vertical="center"/>
    </xf>
    <xf numFmtId="0" fontId="14" fillId="0" borderId="1" xfId="6" applyNumberFormat="1" applyFont="1" applyFill="1" applyBorder="1" applyAlignment="1">
      <alignment vertical="center"/>
    </xf>
    <xf numFmtId="164" fontId="16" fillId="0" borderId="1" xfId="3" applyNumberFormat="1" applyFont="1" applyFill="1" applyBorder="1" applyAlignment="1">
      <alignment horizontal="center" vertical="center"/>
    </xf>
    <xf numFmtId="0" fontId="19" fillId="0" borderId="1" xfId="3" applyNumberFormat="1" applyFont="1" applyFill="1" applyBorder="1" applyAlignment="1">
      <alignment horizontal="center" vertical="center"/>
    </xf>
    <xf numFmtId="0" fontId="20" fillId="0" borderId="1" xfId="0" applyFont="1" applyFill="1" applyBorder="1"/>
    <xf numFmtId="0" fontId="16" fillId="0" borderId="1" xfId="3" applyNumberFormat="1" applyFont="1" applyFill="1" applyBorder="1" applyAlignment="1">
      <alignment horizontal="center" vertical="center"/>
    </xf>
    <xf numFmtId="0" fontId="14" fillId="0" borderId="1" xfId="2" applyNumberFormat="1" applyFont="1" applyFill="1" applyBorder="1" applyAlignment="1">
      <alignment horizontal="left" vertical="center"/>
    </xf>
    <xf numFmtId="0" fontId="13" fillId="0" borderId="1" xfId="0" applyNumberFormat="1" applyFont="1" applyFill="1" applyBorder="1" applyAlignment="1">
      <alignment horizontal="center" vertical="center"/>
    </xf>
    <xf numFmtId="0" fontId="13" fillId="0" borderId="1" xfId="0" applyNumberFormat="1" applyFont="1" applyFill="1" applyBorder="1" applyAlignment="1">
      <alignment vertical="center"/>
    </xf>
    <xf numFmtId="0" fontId="13" fillId="0" borderId="1" xfId="0" applyFont="1" applyFill="1" applyBorder="1" applyAlignment="1">
      <alignment vertical="center"/>
    </xf>
    <xf numFmtId="0" fontId="22" fillId="5" borderId="0" xfId="1" applyFont="1" applyFill="1" applyAlignment="1">
      <alignment horizontal="left" vertical="center"/>
    </xf>
    <xf numFmtId="0" fontId="23" fillId="5" borderId="0" xfId="1" applyFont="1" applyFill="1" applyAlignment="1">
      <alignment horizontal="left" vertical="center"/>
    </xf>
    <xf numFmtId="0" fontId="24" fillId="5" borderId="0" xfId="1" applyFont="1" applyFill="1" applyAlignment="1">
      <alignment vertical="center"/>
    </xf>
    <xf numFmtId="0" fontId="2" fillId="0" borderId="0" xfId="1" applyFont="1" applyFill="1" applyAlignment="1">
      <alignment vertical="center"/>
    </xf>
    <xf numFmtId="0" fontId="2" fillId="0" borderId="0" xfId="1" applyFont="1" applyFill="1" applyAlignment="1">
      <alignment horizontal="center" vertical="center"/>
    </xf>
    <xf numFmtId="0" fontId="2" fillId="0" borderId="0" xfId="1" applyFont="1" applyFill="1" applyBorder="1" applyAlignment="1">
      <alignment vertical="center"/>
    </xf>
    <xf numFmtId="0" fontId="2" fillId="0" borderId="0" xfId="1" applyFont="1" applyFill="1" applyAlignment="1">
      <alignment vertical="center" wrapText="1"/>
    </xf>
    <xf numFmtId="0" fontId="2" fillId="6" borderId="1" xfId="1" applyFont="1" applyFill="1" applyBorder="1" applyAlignment="1">
      <alignment horizontal="center" vertical="center"/>
    </xf>
    <xf numFmtId="3" fontId="24" fillId="5" borderId="12" xfId="1" applyNumberFormat="1" applyFont="1" applyFill="1" applyBorder="1" applyAlignment="1">
      <alignment vertical="center" wrapText="1"/>
    </xf>
    <xf numFmtId="3" fontId="24" fillId="5" borderId="2" xfId="1" applyNumberFormat="1" applyFont="1" applyFill="1" applyBorder="1" applyAlignment="1">
      <alignment horizontal="center" vertical="center" wrapText="1"/>
    </xf>
    <xf numFmtId="3" fontId="24" fillId="5" borderId="2" xfId="1" applyNumberFormat="1" applyFont="1" applyFill="1" applyBorder="1" applyAlignment="1">
      <alignment vertical="center" wrapText="1"/>
    </xf>
    <xf numFmtId="0" fontId="24" fillId="5" borderId="2" xfId="1" applyFont="1" applyFill="1" applyBorder="1" applyAlignment="1">
      <alignment vertical="center" wrapText="1"/>
    </xf>
    <xf numFmtId="0" fontId="24" fillId="5" borderId="2" xfId="1" applyFont="1" applyFill="1" applyBorder="1" applyAlignment="1">
      <alignment horizontal="center" vertical="center" wrapText="1"/>
    </xf>
    <xf numFmtId="164" fontId="2" fillId="6" borderId="2" xfId="1" applyNumberFormat="1" applyFont="1" applyFill="1" applyBorder="1" applyAlignment="1">
      <alignment vertical="center" wrapText="1"/>
    </xf>
    <xf numFmtId="0" fontId="2" fillId="6" borderId="2" xfId="1" applyFont="1" applyFill="1" applyBorder="1" applyAlignment="1">
      <alignment vertical="center"/>
    </xf>
    <xf numFmtId="0" fontId="2" fillId="6" borderId="2" xfId="1" applyFont="1" applyFill="1" applyBorder="1" applyAlignment="1">
      <alignment horizontal="center" vertical="center"/>
    </xf>
    <xf numFmtId="164" fontId="2" fillId="6" borderId="13" xfId="1" applyNumberFormat="1" applyFont="1" applyFill="1" applyBorder="1" applyAlignment="1">
      <alignment vertical="center" wrapText="1"/>
    </xf>
    <xf numFmtId="3" fontId="2" fillId="0" borderId="14" xfId="1" applyNumberFormat="1" applyFont="1" applyFill="1" applyBorder="1" applyAlignment="1">
      <alignment horizontal="center" vertical="center"/>
    </xf>
    <xf numFmtId="3" fontId="2" fillId="0" borderId="1" xfId="1" applyNumberFormat="1" applyFont="1" applyFill="1" applyBorder="1" applyAlignment="1">
      <alignment horizontal="left" vertical="center"/>
    </xf>
    <xf numFmtId="3" fontId="2" fillId="0" borderId="1" xfId="1" applyNumberFormat="1" applyFont="1" applyFill="1" applyBorder="1" applyAlignment="1">
      <alignment horizontal="center" vertical="center"/>
    </xf>
    <xf numFmtId="0" fontId="2" fillId="0" borderId="1" xfId="1" applyFont="1" applyFill="1" applyBorder="1" applyAlignment="1">
      <alignment vertical="center"/>
    </xf>
    <xf numFmtId="0" fontId="2" fillId="0" borderId="1" xfId="1" quotePrefix="1" applyFont="1" applyFill="1" applyBorder="1" applyAlignment="1">
      <alignment horizontal="left" vertical="center"/>
    </xf>
    <xf numFmtId="0" fontId="2" fillId="0" borderId="1" xfId="1" applyFont="1" applyFill="1" applyBorder="1" applyAlignment="1">
      <alignment horizontal="left" vertical="center"/>
    </xf>
    <xf numFmtId="165" fontId="2" fillId="0" borderId="1" xfId="1" quotePrefix="1" applyNumberFormat="1" applyFont="1" applyFill="1" applyBorder="1" applyAlignment="1">
      <alignment horizontal="left" vertical="center"/>
    </xf>
    <xf numFmtId="14" fontId="2" fillId="0" borderId="1" xfId="1" applyNumberFormat="1" applyFont="1" applyFill="1" applyBorder="1" applyAlignment="1">
      <alignment vertical="center"/>
    </xf>
    <xf numFmtId="43" fontId="2" fillId="0" borderId="1" xfId="8" applyFont="1" applyFill="1" applyBorder="1" applyAlignment="1">
      <alignment vertical="center"/>
    </xf>
    <xf numFmtId="43" fontId="2" fillId="0" borderId="15" xfId="8" applyFont="1" applyFill="1" applyBorder="1" applyAlignment="1">
      <alignment vertical="center"/>
    </xf>
    <xf numFmtId="0" fontId="2" fillId="0" borderId="1" xfId="1" applyFont="1" applyFill="1" applyBorder="1" applyAlignment="1">
      <alignment horizontal="center" vertical="center"/>
    </xf>
    <xf numFmtId="0" fontId="25" fillId="0" borderId="1" xfId="0" applyFont="1" applyFill="1" applyBorder="1" applyAlignment="1">
      <alignment horizontal="left" vertical="center"/>
    </xf>
    <xf numFmtId="165" fontId="2" fillId="0" borderId="1" xfId="1" applyNumberFormat="1" applyFont="1" applyFill="1" applyBorder="1" applyAlignment="1">
      <alignment horizontal="left" vertical="center"/>
    </xf>
    <xf numFmtId="43" fontId="2" fillId="0" borderId="1" xfId="8" applyFont="1" applyFill="1" applyBorder="1" applyAlignment="1">
      <alignment horizontal="left" vertical="center"/>
    </xf>
    <xf numFmtId="43" fontId="2" fillId="0" borderId="15" xfId="8" applyNumberFormat="1" applyFont="1" applyFill="1" applyBorder="1" applyAlignment="1">
      <alignment vertical="center"/>
    </xf>
    <xf numFmtId="0" fontId="2" fillId="0" borderId="1" xfId="1" applyNumberFormat="1" applyFont="1" applyFill="1" applyBorder="1" applyAlignment="1">
      <alignment horizontal="left" vertical="center"/>
    </xf>
    <xf numFmtId="0" fontId="2" fillId="0" borderId="1" xfId="1" applyNumberFormat="1" applyFont="1" applyFill="1" applyBorder="1" applyAlignment="1">
      <alignment vertical="center"/>
    </xf>
    <xf numFmtId="0" fontId="26" fillId="0" borderId="1" xfId="3" applyFont="1" applyFill="1" applyBorder="1" applyAlignment="1">
      <alignment horizontal="left" vertical="center"/>
    </xf>
    <xf numFmtId="3" fontId="2" fillId="0" borderId="16" xfId="1" applyNumberFormat="1" applyFont="1" applyFill="1" applyBorder="1" applyAlignment="1">
      <alignment horizontal="left" vertical="center"/>
    </xf>
    <xf numFmtId="3" fontId="2" fillId="0" borderId="16" xfId="1" applyNumberFormat="1" applyFont="1" applyFill="1" applyBorder="1" applyAlignment="1">
      <alignment horizontal="center" vertical="center"/>
    </xf>
    <xf numFmtId="0" fontId="2" fillId="0" borderId="16" xfId="1" applyFont="1" applyFill="1" applyBorder="1" applyAlignment="1">
      <alignment vertical="center"/>
    </xf>
    <xf numFmtId="0" fontId="2" fillId="0" borderId="16" xfId="1" quotePrefix="1" applyFont="1" applyFill="1" applyBorder="1" applyAlignment="1">
      <alignment horizontal="left" vertical="center"/>
    </xf>
    <xf numFmtId="0" fontId="2" fillId="0" borderId="16" xfId="1" applyFont="1" applyFill="1" applyBorder="1" applyAlignment="1">
      <alignment horizontal="left" vertical="center"/>
    </xf>
    <xf numFmtId="165" fontId="2" fillId="0" borderId="16" xfId="1" quotePrefix="1" applyNumberFormat="1" applyFont="1" applyFill="1" applyBorder="1" applyAlignment="1">
      <alignment horizontal="left" vertical="center"/>
    </xf>
    <xf numFmtId="14" fontId="2" fillId="0" borderId="16" xfId="1" applyNumberFormat="1" applyFont="1" applyFill="1" applyBorder="1" applyAlignment="1">
      <alignment vertical="center"/>
    </xf>
    <xf numFmtId="43" fontId="2" fillId="0" borderId="16" xfId="8" applyFont="1" applyFill="1" applyBorder="1" applyAlignment="1">
      <alignment vertical="center"/>
    </xf>
    <xf numFmtId="43" fontId="2" fillId="0" borderId="17" xfId="8" applyFont="1" applyFill="1" applyBorder="1" applyAlignment="1">
      <alignment vertical="center"/>
    </xf>
    <xf numFmtId="165" fontId="2" fillId="7" borderId="1" xfId="1" applyNumberFormat="1" applyFont="1" applyFill="1" applyBorder="1" applyAlignment="1">
      <alignment horizontal="left" vertical="center"/>
    </xf>
    <xf numFmtId="0" fontId="2" fillId="0" borderId="0" xfId="1" applyFont="1" applyFill="1" applyBorder="1" applyAlignment="1">
      <alignment horizontal="center" vertical="center"/>
    </xf>
    <xf numFmtId="0" fontId="2" fillId="0" borderId="18" xfId="1" applyFont="1" applyFill="1" applyBorder="1" applyAlignment="1">
      <alignment vertical="center"/>
    </xf>
    <xf numFmtId="0" fontId="2" fillId="0" borderId="18" xfId="1" applyFont="1" applyFill="1" applyBorder="1" applyAlignment="1">
      <alignment horizontal="left" vertical="center"/>
    </xf>
    <xf numFmtId="0" fontId="2" fillId="0" borderId="0" xfId="1" applyNumberFormat="1" applyFont="1" applyFill="1" applyBorder="1" applyAlignment="1">
      <alignment vertical="center"/>
    </xf>
    <xf numFmtId="0" fontId="27" fillId="0" borderId="0" xfId="0" applyFont="1"/>
  </cellXfs>
  <cellStyles count="9">
    <cellStyle name="Comma" xfId="8" builtinId="3"/>
    <cellStyle name="Comma 2" xfId="6"/>
    <cellStyle name="Hyperlink" xfId="3" builtinId="8"/>
    <cellStyle name="Normal" xfId="0" builtinId="0"/>
    <cellStyle name="Normal 2" xfId="1"/>
    <cellStyle name="Normal 2 2" xfId="7"/>
    <cellStyle name="Normal_Sheet1" xfId="4"/>
    <cellStyle name="Normal_Sheet2" xfId="2"/>
    <cellStyle name="Normal_Sheet3" xfId="5"/>
  </cellStyles>
  <dxfs count="48">
    <dxf>
      <font>
        <b val="0"/>
        <i val="0"/>
        <strike val="0"/>
        <condense val="0"/>
        <extend val="0"/>
        <outline val="0"/>
        <shadow val="0"/>
        <u val="none"/>
        <vertAlign val="baseline"/>
        <sz val="12"/>
        <color auto="1"/>
        <name val="Arial"/>
        <scheme val="none"/>
      </font>
      <numFmt numFmtId="35" formatCode="_(* #,##0.00_);_(* \(#,##0.00\);_(* &quot;-&quot;??_);_(@_)"/>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166" formatCode="dd/mm/yy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166" formatCode="dd/mm/yyyy"/>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165" formatCode="yyyy\-mm\-dd;@"/>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9"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b val="0"/>
        <i val="0"/>
        <strike val="0"/>
        <condense val="0"/>
        <extend val="0"/>
        <outline val="0"/>
        <shadow val="0"/>
        <u val="none"/>
        <vertAlign val="baseline"/>
        <sz val="12"/>
        <color auto="1"/>
        <name val="Arial Narrow"/>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strike val="0"/>
        <outline val="0"/>
        <shadow val="0"/>
        <vertAlign val="baseline"/>
        <name val="Arial Narrow"/>
        <scheme val="none"/>
      </font>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Narrow"/>
        <scheme val="none"/>
      </font>
      <numFmt numFmtId="3" formatCode="#,##0"/>
      <fill>
        <patternFill patternType="none">
          <fgColor indexed="64"/>
          <bgColor indexed="65"/>
        </patternFill>
      </fill>
      <alignment horizontal="left" vertical="center" textRotation="0" wrapText="0" indent="0" justifyLastLine="0" shrinkToFit="0" readingOrder="0"/>
      <border diagonalUp="0" diagonalDown="0" outline="0">
        <left/>
        <right style="hair">
          <color indexed="64"/>
        </right>
        <top style="hair">
          <color indexed="64"/>
        </top>
        <bottom style="hair">
          <color indexed="64"/>
        </bottom>
      </border>
    </dxf>
    <dxf>
      <border outline="0">
        <left style="thin">
          <color indexed="64"/>
        </left>
      </border>
    </dxf>
    <dxf>
      <font>
        <b val="0"/>
        <i val="0"/>
        <strike val="0"/>
        <condense val="0"/>
        <extend val="0"/>
        <outline val="0"/>
        <shadow val="0"/>
        <u val="none"/>
        <vertAlign val="baseline"/>
        <sz val="12"/>
        <color auto="1"/>
        <name val="Arial Narrow"/>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base%20Falken%20Aug%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ken Shop"/>
    </sheetNames>
    <sheetDataSet>
      <sheetData sheetId="0"/>
    </sheetDataSet>
  </externalBook>
</externalLink>
</file>

<file path=xl/tables/table1.xml><?xml version="1.0" encoding="utf-8"?>
<table xmlns="http://schemas.openxmlformats.org/spreadsheetml/2006/main" id="1" name="Table1" displayName="Table1" ref="B6:N382" totalsRowShown="0" headerRowDxfId="47" dataDxfId="46" tableBorderDxfId="45" headerRowCellStyle="Normal 2" dataCellStyle="Normal 2">
  <autoFilter ref="B6:N382"/>
  <tableColumns count="13">
    <tableColumn id="1" name="NO" dataDxfId="44" dataCellStyle="Normal 2"/>
    <tableColumn id="2" name="Stts" dataDxfId="43" dataCellStyle="Normal 2"/>
    <tableColumn id="3" name="ID TOKO" dataDxfId="42" dataCellStyle="Normal 2"/>
    <tableColumn id="48" name="ID Mkt" dataDxfId="41" dataCellStyle="Normal 2"/>
    <tableColumn id="4" name="NAMA TOKO" dataDxfId="40" dataCellStyle="Normal 2"/>
    <tableColumn id="5" name="ALAMAT" dataDxfId="39" dataCellStyle="Normal 2"/>
    <tableColumn id="6" name="KOTA/KAB" dataDxfId="38" dataCellStyle="Normal 2"/>
    <tableColumn id="120" name="REGIONAL" dataDxfId="37"/>
    <tableColumn id="38" name="PROV." dataDxfId="36" dataCellStyle="Normal 2"/>
    <tableColumn id="7" name="AREA PEMASARAN2" dataDxfId="35" dataCellStyle="Normal 2"/>
    <tableColumn id="10" name="NO. TLP/FAX TOKO" dataDxfId="34" dataCellStyle="Normal 2"/>
    <tableColumn id="70" name="E-mail" dataDxfId="33" dataCellStyle="Normal 2"/>
    <tableColumn id="8" name="Column1" dataDxfId="32" dataCellStyle="Normal 2">
      <calculatedColumnFormula>VLOOKUP(Table1[[#This Row],[ID TOKO]],Data_Aktual,4,FALSE)</calculatedColumnFormula>
    </tableColumn>
  </tableColumns>
  <tableStyleInfo name="TableStyleLight1" showFirstColumn="0" showLastColumn="0" showRowStripes="1" showColumnStripes="0"/>
</table>
</file>

<file path=xl/tables/table2.xml><?xml version="1.0" encoding="utf-8"?>
<table xmlns="http://schemas.openxmlformats.org/spreadsheetml/2006/main" id="2" name="Table5" displayName="Table5" ref="A4:Z21" totalsRowShown="0" headerRowDxfId="30" dataDxfId="29" headerRowBorderDxfId="27" tableBorderDxfId="28" totalsRowBorderDxfId="26" headerRowCellStyle="Normal 2" dataCellStyle="Normal 2">
  <autoFilter ref="A4:Z21"/>
  <tableColumns count="26">
    <tableColumn id="1" name="NO" dataDxfId="25" dataCellStyle="Normal 2">
      <calculatedColumnFormula>+A4+1</calculatedColumnFormula>
    </tableColumn>
    <tableColumn id="3" name="Kategori Toko" dataDxfId="24" dataCellStyle="Normal 2"/>
    <tableColumn id="2" name="ID Shop" dataDxfId="23" dataCellStyle="Normal 2"/>
    <tableColumn id="4" name="NAMA TOKO" dataDxfId="22" dataCellStyle="Normal 2"/>
    <tableColumn id="5" name="ALAMAT" dataDxfId="21" dataCellStyle="Normal 2"/>
    <tableColumn id="6" name="KOTA" dataDxfId="20" dataCellStyle="Normal 2"/>
    <tableColumn id="7" name="AREA" dataDxfId="19" dataCellStyle="Normal 2"/>
    <tableColumn id="8" name="OWNER" dataDxfId="18" dataCellStyle="Normal 2"/>
    <tableColumn id="9" name="Alamat KTP Owner" dataDxfId="17" dataCellStyle="Normal 2"/>
    <tableColumn id="10" name="NOMOR TLP" dataDxfId="16" dataCellStyle="Normal 2"/>
    <tableColumn id="11" name="Distributor" dataDxfId="15" dataCellStyle="Normal 2"/>
    <tableColumn id="12" name="Distributor Owner" dataDxfId="14" dataCellStyle="Normal 2"/>
    <tableColumn id="13" name="email" dataDxfId="13" dataCellStyle="Normal 2"/>
    <tableColumn id="14" name="Installasi" dataDxfId="12" dataCellStyle="Normal 2"/>
    <tableColumn id="15" name="Supplier" dataDxfId="11" dataCellStyle="Normal 2"/>
    <tableColumn id="16" name="Installation cost_x000a_(excl. tax)" dataDxfId="10" dataCellStyle="Normal 2"/>
    <tableColumn id="17" name="Periode Awal Pajak" dataDxfId="9" dataCellStyle="Normal 2"/>
    <tableColumn id="18" name="Periode Akhir Pajak" dataDxfId="8" dataCellStyle="Normal 2"/>
    <tableColumn id="19" name="SUPPLIER2" dataDxfId="7" dataCellStyle="Normal 2"/>
    <tableColumn id="20" name="Tax" dataDxfId="6" dataCellStyle="Comma"/>
    <tableColumn id="21" name="License" dataDxfId="5" dataCellStyle="Comma"/>
    <tableColumn id="22" name="Transport." dataDxfId="4" dataCellStyle="Comma"/>
    <tableColumn id="23" name="Agency Fee" dataDxfId="3" dataCellStyle="Comma"/>
    <tableColumn id="24" name="PPN 10%" dataDxfId="2" dataCellStyle="Comma"/>
    <tableColumn id="25" name="Other cost" dataDxfId="1" dataCellStyle="Comma"/>
    <tableColumn id="26" name="Total Nilai Pajak" dataDxfId="0" dataCellStyle="Comma">
      <calculatedColumnFormula>Table5[[#This Row],[Tax]]+Table5[[#This Row],[License]]+Table5[[#This Row],[Transport.]]+Table5[[#This Row],[Agency Fee]]+Table5[[#This Row],[PPN 10%]]+Table5[[#This Row],[Other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ps.app.goo.gl/7aBcvBLeNxAFJJpV9" TargetMode="External"/><Relationship Id="rId13" Type="http://schemas.openxmlformats.org/officeDocument/2006/relationships/comments" Target="../comments1.xml"/><Relationship Id="rId3" Type="http://schemas.openxmlformats.org/officeDocument/2006/relationships/hyperlink" Target="https://www.google.com/maps/search/Ester+Ban/@3.5601114,98.7196071,17z" TargetMode="External"/><Relationship Id="rId7" Type="http://schemas.openxmlformats.org/officeDocument/2006/relationships/hyperlink" Target="https://maps.app.goo.gl/mNLYYGzBrkjDdoBJ7" TargetMode="External"/><Relationship Id="rId12" Type="http://schemas.openxmlformats.org/officeDocument/2006/relationships/table" Target="../tables/table1.xml"/><Relationship Id="rId2" Type="http://schemas.openxmlformats.org/officeDocument/2006/relationships/hyperlink" Target="https://www.google.com/maps/search/ISM+Ban/@0.8283655,99.565131,17z" TargetMode="External"/><Relationship Id="rId1" Type="http://schemas.openxmlformats.org/officeDocument/2006/relationships/hyperlink" Target="https://www.google.com/maps/search/Hiro+Tire/@3.63655555555556,98.6809722222222,17z" TargetMode="External"/><Relationship Id="rId6" Type="http://schemas.openxmlformats.org/officeDocument/2006/relationships/hyperlink" Target="https://maps.app.goo.gl/kzP227gpviyYpmnM6" TargetMode="External"/><Relationship Id="rId11" Type="http://schemas.openxmlformats.org/officeDocument/2006/relationships/vmlDrawing" Target="../drawings/vmlDrawing1.vml"/><Relationship Id="rId5" Type="http://schemas.openxmlformats.org/officeDocument/2006/relationships/hyperlink" Target="https://maps.app.goo.gl/7Q9RkLrMMr2SeiVg8" TargetMode="External"/><Relationship Id="rId10" Type="http://schemas.openxmlformats.org/officeDocument/2006/relationships/printerSettings" Target="../printerSettings/printerSettings1.bin"/><Relationship Id="rId4" Type="http://schemas.openxmlformats.org/officeDocument/2006/relationships/hyperlink" Target="https://www.google.com/maps/search/PT.+Sutan+Kasim+(Duri)/@1.277492,101.1965712,17z" TargetMode="External"/><Relationship Id="rId9" Type="http://schemas.openxmlformats.org/officeDocument/2006/relationships/hyperlink" Target="https://maps.app.goo.gl/h4hHJpDx899ZBThq8"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maps.app.goo.gl/uodLJiLTGQE9V6rf6" TargetMode="External"/><Relationship Id="rId1" Type="http://schemas.openxmlformats.org/officeDocument/2006/relationships/hyperlink" Target="https://maps.app.goo.gl/2Tbv4MVC9pwLiDuB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ogle.com/maps/search/Ester+Ban/@3.5601114,98.7196071,17z" TargetMode="External"/><Relationship Id="rId2" Type="http://schemas.openxmlformats.org/officeDocument/2006/relationships/hyperlink" Target="https://www.google.com/maps/search/ISM+Ban/@0.8283655,99.565131,17z" TargetMode="External"/><Relationship Id="rId1" Type="http://schemas.openxmlformats.org/officeDocument/2006/relationships/hyperlink" Target="https://www.google.com/maps/search/Hiro+Tire/@3.63655555555556,98.6809722222222,17z" TargetMode="External"/><Relationship Id="rId4" Type="http://schemas.openxmlformats.org/officeDocument/2006/relationships/hyperlink" Target="https://www.google.com/maps/search/PT.+Sutan+Kasim+(Duri)/@1.277492,101.1965712,17z"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inkassukautama.pku@gmail.com" TargetMode="External"/><Relationship Id="rId7" Type="http://schemas.openxmlformats.org/officeDocument/2006/relationships/comments" Target="../comments2.xml"/><Relationship Id="rId2" Type="http://schemas.openxmlformats.org/officeDocument/2006/relationships/hyperlink" Target="mailto:rinkassukautama@gmail.com" TargetMode="External"/><Relationship Id="rId1" Type="http://schemas.openxmlformats.org/officeDocument/2006/relationships/hyperlink" Target="mailto:rinkassukautama.pku@gmail.com" TargetMode="External"/><Relationship Id="rId6" Type="http://schemas.openxmlformats.org/officeDocument/2006/relationships/table" Target="../tables/table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T384"/>
  <sheetViews>
    <sheetView zoomScale="85" zoomScaleNormal="85" zoomScaleSheetLayoutView="55" workbookViewId="0">
      <pane xSplit="6" ySplit="6" topLeftCell="G7" activePane="bottomRight" state="frozen"/>
      <selection activeCell="E394" sqref="E394"/>
      <selection pane="topRight" activeCell="E394" sqref="E394"/>
      <selection pane="bottomLeft" activeCell="E394" sqref="E394"/>
      <selection pane="bottomRight" activeCell="D7" sqref="D7"/>
    </sheetView>
  </sheetViews>
  <sheetFormatPr defaultColWidth="9.140625" defaultRowHeight="15" x14ac:dyDescent="0.2"/>
  <cols>
    <col min="1" max="1" width="6.42578125" style="5" bestFit="1" customWidth="1"/>
    <col min="2" max="2" width="5.7109375" style="5" customWidth="1"/>
    <col min="3" max="3" width="7.42578125" style="5" customWidth="1"/>
    <col min="4" max="4" width="24.140625" style="5" customWidth="1"/>
    <col min="5" max="5" width="14.85546875" style="5" hidden="1" customWidth="1"/>
    <col min="6" max="6" width="41" style="5" bestFit="1" customWidth="1"/>
    <col min="7" max="7" width="73.42578125" style="5" customWidth="1"/>
    <col min="8" max="9" width="20.42578125" style="5" customWidth="1"/>
    <col min="10" max="10" width="23.28515625" style="5" customWidth="1"/>
    <col min="11" max="11" width="20.85546875" style="5" customWidth="1"/>
    <col min="12" max="12" width="32.5703125" style="5" customWidth="1"/>
    <col min="13" max="13" width="34.42578125" style="16" customWidth="1"/>
    <col min="14" max="14" width="90.28515625" style="12" hidden="1" customWidth="1"/>
    <col min="15" max="15" width="136.28515625" style="5" bestFit="1" customWidth="1"/>
    <col min="16" max="16" width="10.85546875" style="5" customWidth="1"/>
    <col min="17" max="16384" width="9.140625" style="5"/>
  </cols>
  <sheetData>
    <row r="1" spans="1:19" s="1" customFormat="1" ht="18" customHeight="1" x14ac:dyDescent="0.25">
      <c r="B1" s="2" t="s">
        <v>0</v>
      </c>
      <c r="C1" s="3"/>
      <c r="D1" s="3"/>
      <c r="N1" s="4"/>
    </row>
    <row r="2" spans="1:19" s="1" customFormat="1" x14ac:dyDescent="0.25">
      <c r="N2" s="4"/>
    </row>
    <row r="3" spans="1:19" s="9" customFormat="1" ht="20.25" x14ac:dyDescent="0.25">
      <c r="A3" s="6">
        <f>SUBTOTAL(9,A7:A382)</f>
        <v>376</v>
      </c>
      <c r="B3" s="7"/>
      <c r="C3" s="7"/>
      <c r="D3" s="8"/>
      <c r="E3" s="8"/>
      <c r="F3" s="8"/>
      <c r="G3" s="8"/>
      <c r="H3" s="8"/>
      <c r="I3" s="8"/>
      <c r="J3" s="8"/>
      <c r="K3" s="8"/>
      <c r="N3" s="10"/>
    </row>
    <row r="4" spans="1:19" s="9" customFormat="1" ht="20.25" x14ac:dyDescent="0.25">
      <c r="A4" s="6"/>
      <c r="B4" s="7"/>
      <c r="C4" s="7"/>
      <c r="D4" s="8"/>
      <c r="E4" s="8"/>
      <c r="F4" s="8"/>
      <c r="G4" s="8"/>
      <c r="H4" s="8"/>
      <c r="I4" s="8"/>
      <c r="J4" s="8"/>
      <c r="K4" s="8"/>
      <c r="N4" s="10"/>
    </row>
    <row r="5" spans="1:19" s="9" customFormat="1" ht="20.25" x14ac:dyDescent="0.25">
      <c r="A5" s="6"/>
      <c r="B5" s="7"/>
      <c r="C5" s="7"/>
      <c r="D5" s="8"/>
      <c r="E5" s="8"/>
      <c r="F5" s="8"/>
      <c r="G5" s="8"/>
      <c r="H5" s="8"/>
      <c r="I5" s="8"/>
      <c r="J5" s="8"/>
      <c r="K5" s="8"/>
      <c r="N5" s="10"/>
    </row>
    <row r="6" spans="1:19" s="11" customFormat="1" ht="20.25" customHeight="1" x14ac:dyDescent="0.25">
      <c r="B6" s="19" t="s">
        <v>1</v>
      </c>
      <c r="C6" s="20" t="s">
        <v>2</v>
      </c>
      <c r="D6" s="20" t="s">
        <v>3292</v>
      </c>
      <c r="E6" s="20" t="s">
        <v>3</v>
      </c>
      <c r="F6" s="20" t="s">
        <v>4</v>
      </c>
      <c r="G6" s="20" t="s">
        <v>5</v>
      </c>
      <c r="H6" s="20" t="s">
        <v>6</v>
      </c>
      <c r="I6" s="20" t="s">
        <v>7</v>
      </c>
      <c r="J6" s="20" t="s">
        <v>8</v>
      </c>
      <c r="K6" s="20" t="s">
        <v>9</v>
      </c>
      <c r="L6" s="20" t="s">
        <v>11</v>
      </c>
      <c r="M6" s="20" t="s">
        <v>12</v>
      </c>
      <c r="N6" s="21" t="s">
        <v>3100</v>
      </c>
      <c r="O6" s="22" t="s">
        <v>3127</v>
      </c>
    </row>
    <row r="7" spans="1:19" s="1" customFormat="1" ht="20.25" customHeight="1" x14ac:dyDescent="0.3">
      <c r="A7" s="1">
        <v>1</v>
      </c>
      <c r="B7" s="23">
        <v>1</v>
      </c>
      <c r="C7" s="24" t="s">
        <v>13</v>
      </c>
      <c r="D7" s="24" t="s">
        <v>14</v>
      </c>
      <c r="E7" s="24" t="s">
        <v>15</v>
      </c>
      <c r="F7" s="24" t="s">
        <v>16</v>
      </c>
      <c r="G7" s="25" t="s">
        <v>17</v>
      </c>
      <c r="H7" s="24" t="s">
        <v>18</v>
      </c>
      <c r="I7" s="24" t="s">
        <v>19</v>
      </c>
      <c r="J7" s="24" t="s">
        <v>20</v>
      </c>
      <c r="K7" s="24" t="s">
        <v>20</v>
      </c>
      <c r="L7" s="26" t="s">
        <v>21</v>
      </c>
      <c r="M7" s="27" t="s">
        <v>22</v>
      </c>
      <c r="N7" s="28" t="e">
        <f>VLOOKUP(Table1[[#This Row],[ID TOKO]],Data_Aktual,4,FALSE)</f>
        <v>#N/A</v>
      </c>
      <c r="O7" s="29" t="s">
        <v>3094</v>
      </c>
      <c r="R7" s="5"/>
      <c r="S7" s="5"/>
    </row>
    <row r="8" spans="1:19" s="1" customFormat="1" ht="20.25" customHeight="1" x14ac:dyDescent="0.3">
      <c r="A8" s="1">
        <v>1</v>
      </c>
      <c r="B8" s="23">
        <v>2</v>
      </c>
      <c r="C8" s="24" t="s">
        <v>13</v>
      </c>
      <c r="D8" s="24" t="s">
        <v>23</v>
      </c>
      <c r="E8" s="24" t="s">
        <v>24</v>
      </c>
      <c r="F8" s="30" t="s">
        <v>25</v>
      </c>
      <c r="G8" s="30" t="s">
        <v>26</v>
      </c>
      <c r="H8" s="30" t="s">
        <v>27</v>
      </c>
      <c r="I8" s="24" t="s">
        <v>19</v>
      </c>
      <c r="J8" s="30" t="s">
        <v>20</v>
      </c>
      <c r="K8" s="24" t="s">
        <v>20</v>
      </c>
      <c r="L8" s="26" t="s">
        <v>28</v>
      </c>
      <c r="M8" s="27" t="s">
        <v>29</v>
      </c>
      <c r="N8" s="28" t="e">
        <f>VLOOKUP(Table1[[#This Row],[ID TOKO]],Data_Aktual,4,FALSE)</f>
        <v>#N/A</v>
      </c>
      <c r="O8" s="29" t="s">
        <v>2388</v>
      </c>
      <c r="R8" s="5"/>
      <c r="S8" s="5"/>
    </row>
    <row r="9" spans="1:19" s="1" customFormat="1" ht="20.25" customHeight="1" x14ac:dyDescent="0.25">
      <c r="A9" s="1">
        <v>1</v>
      </c>
      <c r="B9" s="23">
        <v>3</v>
      </c>
      <c r="C9" s="24" t="s">
        <v>13</v>
      </c>
      <c r="D9" s="24" t="s">
        <v>30</v>
      </c>
      <c r="E9" s="24" t="s">
        <v>31</v>
      </c>
      <c r="F9" s="25" t="s">
        <v>32</v>
      </c>
      <c r="G9" s="25" t="s">
        <v>33</v>
      </c>
      <c r="H9" s="25" t="s">
        <v>34</v>
      </c>
      <c r="I9" s="24" t="s">
        <v>19</v>
      </c>
      <c r="J9" s="30" t="s">
        <v>20</v>
      </c>
      <c r="K9" s="24" t="s">
        <v>20</v>
      </c>
      <c r="L9" s="25" t="s">
        <v>35</v>
      </c>
      <c r="M9" s="25"/>
      <c r="N9" s="28" t="e">
        <f>VLOOKUP(Table1[[#This Row],[ID TOKO]],Data_Aktual,4,FALSE)</f>
        <v>#N/A</v>
      </c>
      <c r="O9" s="29" t="s">
        <v>3092</v>
      </c>
      <c r="R9" s="5"/>
      <c r="S9" s="5"/>
    </row>
    <row r="10" spans="1:19" s="1" customFormat="1" ht="20.25" customHeight="1" x14ac:dyDescent="0.3">
      <c r="A10" s="1">
        <v>1</v>
      </c>
      <c r="B10" s="23">
        <v>4</v>
      </c>
      <c r="C10" s="24" t="s">
        <v>13</v>
      </c>
      <c r="D10" s="24" t="s">
        <v>36</v>
      </c>
      <c r="E10" s="24" t="s">
        <v>37</v>
      </c>
      <c r="F10" s="30" t="s">
        <v>38</v>
      </c>
      <c r="G10" s="30" t="s">
        <v>39</v>
      </c>
      <c r="H10" s="30" t="s">
        <v>18</v>
      </c>
      <c r="I10" s="24" t="s">
        <v>19</v>
      </c>
      <c r="J10" s="30" t="s">
        <v>20</v>
      </c>
      <c r="K10" s="24" t="s">
        <v>20</v>
      </c>
      <c r="L10" s="26" t="s">
        <v>40</v>
      </c>
      <c r="M10" s="27" t="s">
        <v>41</v>
      </c>
      <c r="N10" s="28" t="e">
        <f>VLOOKUP(Table1[[#This Row],[ID TOKO]],Data_Aktual,4,FALSE)</f>
        <v>#N/A</v>
      </c>
      <c r="O10" s="29" t="s">
        <v>3091</v>
      </c>
      <c r="R10" s="5"/>
      <c r="S10" s="5"/>
    </row>
    <row r="11" spans="1:19" s="1" customFormat="1" ht="20.25" customHeight="1" x14ac:dyDescent="0.3">
      <c r="A11" s="1">
        <v>1</v>
      </c>
      <c r="B11" s="23">
        <v>5</v>
      </c>
      <c r="C11" s="24" t="s">
        <v>13</v>
      </c>
      <c r="D11" s="24" t="s">
        <v>42</v>
      </c>
      <c r="E11" s="24" t="s">
        <v>43</v>
      </c>
      <c r="F11" s="30" t="s">
        <v>38</v>
      </c>
      <c r="G11" s="30" t="s">
        <v>44</v>
      </c>
      <c r="H11" s="30" t="s">
        <v>45</v>
      </c>
      <c r="I11" s="24" t="s">
        <v>19</v>
      </c>
      <c r="J11" s="30" t="s">
        <v>20</v>
      </c>
      <c r="K11" s="24" t="s">
        <v>20</v>
      </c>
      <c r="L11" s="26" t="s">
        <v>46</v>
      </c>
      <c r="M11" s="27" t="s">
        <v>47</v>
      </c>
      <c r="N11" s="28" t="e">
        <f>VLOOKUP(Table1[[#This Row],[ID TOKO]],Data_Aktual,4,FALSE)</f>
        <v>#N/A</v>
      </c>
      <c r="O11" s="29" t="s">
        <v>3089</v>
      </c>
      <c r="R11" s="5"/>
      <c r="S11" s="5"/>
    </row>
    <row r="12" spans="1:19" s="1" customFormat="1" ht="20.25" customHeight="1" x14ac:dyDescent="0.3">
      <c r="A12" s="1">
        <v>1</v>
      </c>
      <c r="B12" s="23">
        <v>6</v>
      </c>
      <c r="C12" s="24" t="s">
        <v>13</v>
      </c>
      <c r="D12" s="24" t="s">
        <v>48</v>
      </c>
      <c r="E12" s="24" t="s">
        <v>49</v>
      </c>
      <c r="F12" s="24" t="s">
        <v>50</v>
      </c>
      <c r="G12" s="25" t="s">
        <v>51</v>
      </c>
      <c r="H12" s="24" t="s">
        <v>18</v>
      </c>
      <c r="I12" s="24" t="s">
        <v>19</v>
      </c>
      <c r="J12" s="30" t="s">
        <v>20</v>
      </c>
      <c r="K12" s="24" t="s">
        <v>20</v>
      </c>
      <c r="L12" s="26" t="s">
        <v>52</v>
      </c>
      <c r="M12" s="27" t="s">
        <v>53</v>
      </c>
      <c r="N12" s="28" t="e">
        <f>VLOOKUP(Table1[[#This Row],[ID TOKO]],Data_Aktual,4,FALSE)</f>
        <v>#N/A</v>
      </c>
      <c r="O12" s="29" t="s">
        <v>3087</v>
      </c>
      <c r="R12" s="5"/>
      <c r="S12" s="5"/>
    </row>
    <row r="13" spans="1:19" s="1" customFormat="1" ht="20.25" customHeight="1" x14ac:dyDescent="0.3">
      <c r="A13" s="1">
        <v>1</v>
      </c>
      <c r="B13" s="23">
        <v>7</v>
      </c>
      <c r="C13" s="24" t="s">
        <v>13</v>
      </c>
      <c r="D13" s="24" t="s">
        <v>54</v>
      </c>
      <c r="E13" s="24" t="s">
        <v>55</v>
      </c>
      <c r="F13" s="25" t="s">
        <v>56</v>
      </c>
      <c r="G13" s="25" t="s">
        <v>57</v>
      </c>
      <c r="H13" s="25" t="s">
        <v>58</v>
      </c>
      <c r="I13" s="24" t="s">
        <v>19</v>
      </c>
      <c r="J13" s="25" t="s">
        <v>59</v>
      </c>
      <c r="K13" s="25" t="s">
        <v>60</v>
      </c>
      <c r="L13" s="26" t="s">
        <v>61</v>
      </c>
      <c r="M13" s="27" t="s">
        <v>62</v>
      </c>
      <c r="N13" s="28" t="e">
        <f>VLOOKUP(Table1[[#This Row],[ID TOKO]],Data_Aktual,4,FALSE)</f>
        <v>#N/A</v>
      </c>
      <c r="O13" s="29" t="s">
        <v>3085</v>
      </c>
      <c r="R13" s="5"/>
      <c r="S13" s="5"/>
    </row>
    <row r="14" spans="1:19" s="1" customFormat="1" ht="20.25" customHeight="1" x14ac:dyDescent="0.3">
      <c r="A14" s="1">
        <v>1</v>
      </c>
      <c r="B14" s="23">
        <v>8</v>
      </c>
      <c r="C14" s="24" t="s">
        <v>13</v>
      </c>
      <c r="D14" s="24" t="s">
        <v>63</v>
      </c>
      <c r="E14" s="24" t="s">
        <v>64</v>
      </c>
      <c r="F14" s="25" t="s">
        <v>65</v>
      </c>
      <c r="G14" s="25" t="s">
        <v>66</v>
      </c>
      <c r="H14" s="25" t="s">
        <v>58</v>
      </c>
      <c r="I14" s="24" t="s">
        <v>19</v>
      </c>
      <c r="J14" s="25" t="s">
        <v>59</v>
      </c>
      <c r="K14" s="25" t="s">
        <v>60</v>
      </c>
      <c r="L14" s="26" t="s">
        <v>67</v>
      </c>
      <c r="M14" s="27" t="s">
        <v>68</v>
      </c>
      <c r="N14" s="28" t="e">
        <f>VLOOKUP(Table1[[#This Row],[ID TOKO]],Data_Aktual,4,FALSE)</f>
        <v>#N/A</v>
      </c>
      <c r="O14" s="29" t="s">
        <v>3083</v>
      </c>
      <c r="R14" s="5"/>
      <c r="S14" s="5"/>
    </row>
    <row r="15" spans="1:19" s="1" customFormat="1" ht="20.25" customHeight="1" x14ac:dyDescent="0.3">
      <c r="A15" s="1">
        <v>1</v>
      </c>
      <c r="B15" s="23">
        <v>9</v>
      </c>
      <c r="C15" s="24" t="s">
        <v>13</v>
      </c>
      <c r="D15" s="24" t="s">
        <v>69</v>
      </c>
      <c r="E15" s="24" t="s">
        <v>70</v>
      </c>
      <c r="F15" s="25" t="s">
        <v>71</v>
      </c>
      <c r="G15" s="25" t="s">
        <v>72</v>
      </c>
      <c r="H15" s="25" t="s">
        <v>58</v>
      </c>
      <c r="I15" s="24" t="s">
        <v>19</v>
      </c>
      <c r="J15" s="25" t="s">
        <v>59</v>
      </c>
      <c r="K15" s="25" t="s">
        <v>60</v>
      </c>
      <c r="L15" s="25" t="s">
        <v>73</v>
      </c>
      <c r="M15" s="27" t="s">
        <v>74</v>
      </c>
      <c r="N15" s="28" t="e">
        <f>VLOOKUP(Table1[[#This Row],[ID TOKO]],Data_Aktual,4,FALSE)</f>
        <v>#N/A</v>
      </c>
      <c r="O15" s="29" t="s">
        <v>3081</v>
      </c>
      <c r="R15" s="5"/>
      <c r="S15" s="5"/>
    </row>
    <row r="16" spans="1:19" s="1" customFormat="1" ht="20.25" customHeight="1" x14ac:dyDescent="0.25">
      <c r="A16" s="1">
        <v>1</v>
      </c>
      <c r="B16" s="23">
        <v>10</v>
      </c>
      <c r="C16" s="24" t="s">
        <v>13</v>
      </c>
      <c r="D16" s="24" t="s">
        <v>75</v>
      </c>
      <c r="E16" s="24" t="s">
        <v>76</v>
      </c>
      <c r="F16" s="25" t="s">
        <v>77</v>
      </c>
      <c r="G16" s="25" t="s">
        <v>78</v>
      </c>
      <c r="H16" s="25" t="s">
        <v>58</v>
      </c>
      <c r="I16" s="24" t="s">
        <v>19</v>
      </c>
      <c r="J16" s="25" t="s">
        <v>59</v>
      </c>
      <c r="K16" s="25" t="s">
        <v>60</v>
      </c>
      <c r="L16" s="26" t="s">
        <v>79</v>
      </c>
      <c r="M16" s="25"/>
      <c r="N16" s="28" t="e">
        <f>VLOOKUP(Table1[[#This Row],[ID TOKO]],Data_Aktual,4,FALSE)</f>
        <v>#N/A</v>
      </c>
      <c r="O16" s="29" t="s">
        <v>3079</v>
      </c>
      <c r="R16" s="5"/>
      <c r="S16" s="5"/>
    </row>
    <row r="17" spans="1:19" s="1" customFormat="1" ht="20.25" customHeight="1" x14ac:dyDescent="0.25">
      <c r="A17" s="1">
        <v>1</v>
      </c>
      <c r="B17" s="23">
        <v>11</v>
      </c>
      <c r="C17" s="24" t="s">
        <v>13</v>
      </c>
      <c r="D17" s="24" t="s">
        <v>80</v>
      </c>
      <c r="E17" s="24" t="s">
        <v>81</v>
      </c>
      <c r="F17" s="25" t="s">
        <v>82</v>
      </c>
      <c r="G17" s="25" t="s">
        <v>83</v>
      </c>
      <c r="H17" s="25" t="s">
        <v>84</v>
      </c>
      <c r="I17" s="24" t="s">
        <v>19</v>
      </c>
      <c r="J17" s="25" t="s">
        <v>59</v>
      </c>
      <c r="K17" s="25" t="s">
        <v>60</v>
      </c>
      <c r="L17" s="26"/>
      <c r="M17" s="25"/>
      <c r="N17" s="28" t="e">
        <f>VLOOKUP(Table1[[#This Row],[ID TOKO]],Data_Aktual,4,FALSE)</f>
        <v>#N/A</v>
      </c>
      <c r="O17" s="29" t="s">
        <v>2417</v>
      </c>
      <c r="R17" s="5"/>
      <c r="S17" s="5"/>
    </row>
    <row r="18" spans="1:19" s="1" customFormat="1" ht="20.25" customHeight="1" x14ac:dyDescent="0.25">
      <c r="A18" s="1">
        <v>1</v>
      </c>
      <c r="B18" s="23">
        <v>12</v>
      </c>
      <c r="C18" s="24" t="s">
        <v>13</v>
      </c>
      <c r="D18" s="24" t="s">
        <v>85</v>
      </c>
      <c r="E18" s="24" t="s">
        <v>86</v>
      </c>
      <c r="F18" s="24" t="s">
        <v>87</v>
      </c>
      <c r="G18" s="25" t="s">
        <v>88</v>
      </c>
      <c r="H18" s="24" t="s">
        <v>89</v>
      </c>
      <c r="I18" s="24" t="s">
        <v>90</v>
      </c>
      <c r="J18" s="24" t="s">
        <v>91</v>
      </c>
      <c r="K18" s="24" t="s">
        <v>91</v>
      </c>
      <c r="L18" s="26" t="s">
        <v>92</v>
      </c>
      <c r="M18" s="25"/>
      <c r="N18" s="28" t="e">
        <f>VLOOKUP(Table1[[#This Row],[ID TOKO]],Data_Aktual,4,FALSE)</f>
        <v>#N/A</v>
      </c>
      <c r="O18" s="29" t="s">
        <v>3077</v>
      </c>
      <c r="R18" s="5"/>
      <c r="S18" s="5"/>
    </row>
    <row r="19" spans="1:19" s="1" customFormat="1" ht="20.25" customHeight="1" x14ac:dyDescent="0.25">
      <c r="A19" s="1">
        <v>1</v>
      </c>
      <c r="B19" s="23">
        <v>13</v>
      </c>
      <c r="C19" s="24" t="s">
        <v>13</v>
      </c>
      <c r="D19" s="24" t="s">
        <v>93</v>
      </c>
      <c r="E19" s="24" t="s">
        <v>94</v>
      </c>
      <c r="F19" s="24" t="s">
        <v>95</v>
      </c>
      <c r="G19" s="25" t="s">
        <v>96</v>
      </c>
      <c r="H19" s="24" t="s">
        <v>97</v>
      </c>
      <c r="I19" s="24" t="s">
        <v>90</v>
      </c>
      <c r="J19" s="24" t="s">
        <v>91</v>
      </c>
      <c r="K19" s="24" t="s">
        <v>91</v>
      </c>
      <c r="L19" s="26" t="s">
        <v>98</v>
      </c>
      <c r="M19" s="25"/>
      <c r="N19" s="28" t="e">
        <f>VLOOKUP(Table1[[#This Row],[ID TOKO]],Data_Aktual,4,FALSE)</f>
        <v>#N/A</v>
      </c>
      <c r="O19" s="29" t="s">
        <v>3075</v>
      </c>
      <c r="R19" s="5"/>
      <c r="S19" s="5"/>
    </row>
    <row r="20" spans="1:19" s="1" customFormat="1" ht="20.25" customHeight="1" x14ac:dyDescent="0.25">
      <c r="A20" s="1">
        <v>1</v>
      </c>
      <c r="B20" s="23">
        <v>14</v>
      </c>
      <c r="C20" s="24" t="s">
        <v>13</v>
      </c>
      <c r="D20" s="24" t="s">
        <v>99</v>
      </c>
      <c r="E20" s="24" t="s">
        <v>100</v>
      </c>
      <c r="F20" s="24" t="s">
        <v>101</v>
      </c>
      <c r="G20" s="25" t="s">
        <v>102</v>
      </c>
      <c r="H20" s="24" t="s">
        <v>103</v>
      </c>
      <c r="I20" s="24" t="s">
        <v>90</v>
      </c>
      <c r="J20" s="24" t="s">
        <v>91</v>
      </c>
      <c r="K20" s="24" t="s">
        <v>91</v>
      </c>
      <c r="L20" s="26" t="s">
        <v>104</v>
      </c>
      <c r="M20" s="25"/>
      <c r="N20" s="28" t="e">
        <f>VLOOKUP(Table1[[#This Row],[ID TOKO]],Data_Aktual,4,FALSE)</f>
        <v>#N/A</v>
      </c>
      <c r="O20" s="29" t="s">
        <v>3073</v>
      </c>
      <c r="R20" s="5"/>
      <c r="S20" s="5"/>
    </row>
    <row r="21" spans="1:19" s="1" customFormat="1" ht="20.25" customHeight="1" x14ac:dyDescent="0.25">
      <c r="A21" s="1">
        <v>1</v>
      </c>
      <c r="B21" s="23">
        <v>15</v>
      </c>
      <c r="C21" s="24" t="s">
        <v>13</v>
      </c>
      <c r="D21" s="24" t="s">
        <v>105</v>
      </c>
      <c r="E21" s="24" t="s">
        <v>106</v>
      </c>
      <c r="F21" s="24" t="s">
        <v>107</v>
      </c>
      <c r="G21" s="25" t="s">
        <v>108</v>
      </c>
      <c r="H21" s="24" t="s">
        <v>109</v>
      </c>
      <c r="I21" s="24" t="s">
        <v>90</v>
      </c>
      <c r="J21" s="24" t="s">
        <v>91</v>
      </c>
      <c r="K21" s="24" t="s">
        <v>91</v>
      </c>
      <c r="L21" s="26" t="s">
        <v>110</v>
      </c>
      <c r="M21" s="25"/>
      <c r="N21" s="28" t="e">
        <f>VLOOKUP(Table1[[#This Row],[ID TOKO]],Data_Aktual,4,FALSE)</f>
        <v>#N/A</v>
      </c>
      <c r="O21" s="29" t="s">
        <v>3071</v>
      </c>
      <c r="R21" s="5"/>
      <c r="S21" s="5"/>
    </row>
    <row r="22" spans="1:19" s="1" customFormat="1" ht="20.25" customHeight="1" x14ac:dyDescent="0.3">
      <c r="A22" s="1">
        <v>1</v>
      </c>
      <c r="B22" s="23">
        <v>16</v>
      </c>
      <c r="C22" s="24" t="s">
        <v>13</v>
      </c>
      <c r="D22" s="24" t="s">
        <v>111</v>
      </c>
      <c r="E22" s="24" t="s">
        <v>112</v>
      </c>
      <c r="F22" s="24" t="s">
        <v>113</v>
      </c>
      <c r="G22" s="25" t="s">
        <v>114</v>
      </c>
      <c r="H22" s="24" t="s">
        <v>89</v>
      </c>
      <c r="I22" s="24" t="s">
        <v>90</v>
      </c>
      <c r="J22" s="24" t="s">
        <v>91</v>
      </c>
      <c r="K22" s="24" t="s">
        <v>91</v>
      </c>
      <c r="L22" s="26" t="s">
        <v>115</v>
      </c>
      <c r="M22" s="27" t="s">
        <v>116</v>
      </c>
      <c r="N22" s="28" t="e">
        <f>VLOOKUP(Table1[[#This Row],[ID TOKO]],Data_Aktual,4,FALSE)</f>
        <v>#N/A</v>
      </c>
      <c r="O22" s="29" t="s">
        <v>3069</v>
      </c>
      <c r="R22" s="5"/>
      <c r="S22" s="5"/>
    </row>
    <row r="23" spans="1:19" s="1" customFormat="1" ht="20.25" customHeight="1" x14ac:dyDescent="0.25">
      <c r="A23" s="1">
        <v>1</v>
      </c>
      <c r="B23" s="23">
        <v>17</v>
      </c>
      <c r="C23" s="24" t="s">
        <v>13</v>
      </c>
      <c r="D23" s="24" t="s">
        <v>117</v>
      </c>
      <c r="E23" s="24" t="s">
        <v>118</v>
      </c>
      <c r="F23" s="24" t="s">
        <v>119</v>
      </c>
      <c r="G23" s="25" t="s">
        <v>120</v>
      </c>
      <c r="H23" s="24" t="s">
        <v>109</v>
      </c>
      <c r="I23" s="24" t="s">
        <v>90</v>
      </c>
      <c r="J23" s="24" t="s">
        <v>91</v>
      </c>
      <c r="K23" s="24" t="s">
        <v>91</v>
      </c>
      <c r="L23" s="26" t="s">
        <v>121</v>
      </c>
      <c r="M23" s="25"/>
      <c r="N23" s="28" t="e">
        <f>VLOOKUP(Table1[[#This Row],[ID TOKO]],Data_Aktual,4,FALSE)</f>
        <v>#N/A</v>
      </c>
      <c r="O23" s="29" t="s">
        <v>3067</v>
      </c>
      <c r="R23" s="5"/>
      <c r="S23" s="5"/>
    </row>
    <row r="24" spans="1:19" s="1" customFormat="1" ht="20.25" customHeight="1" x14ac:dyDescent="0.25">
      <c r="A24" s="1">
        <v>1</v>
      </c>
      <c r="B24" s="23">
        <v>18</v>
      </c>
      <c r="C24" s="24" t="s">
        <v>13</v>
      </c>
      <c r="D24" s="24" t="s">
        <v>122</v>
      </c>
      <c r="E24" s="24" t="s">
        <v>123</v>
      </c>
      <c r="F24" s="25" t="s">
        <v>124</v>
      </c>
      <c r="G24" s="25" t="s">
        <v>125</v>
      </c>
      <c r="H24" s="24" t="s">
        <v>109</v>
      </c>
      <c r="I24" s="24" t="s">
        <v>90</v>
      </c>
      <c r="J24" s="24" t="s">
        <v>91</v>
      </c>
      <c r="K24" s="24" t="s">
        <v>91</v>
      </c>
      <c r="L24" s="26" t="s">
        <v>126</v>
      </c>
      <c r="M24" s="25"/>
      <c r="N24" s="28" t="e">
        <f>VLOOKUP(Table1[[#This Row],[ID TOKO]],Data_Aktual,4,FALSE)</f>
        <v>#N/A</v>
      </c>
      <c r="O24" s="29" t="s">
        <v>3065</v>
      </c>
      <c r="R24" s="5"/>
      <c r="S24" s="5"/>
    </row>
    <row r="25" spans="1:19" s="1" customFormat="1" ht="20.25" customHeight="1" x14ac:dyDescent="0.25">
      <c r="A25" s="1">
        <v>1</v>
      </c>
      <c r="B25" s="23">
        <v>19</v>
      </c>
      <c r="C25" s="24" t="s">
        <v>13</v>
      </c>
      <c r="D25" s="24" t="s">
        <v>127</v>
      </c>
      <c r="E25" s="24" t="s">
        <v>128</v>
      </c>
      <c r="F25" s="24" t="s">
        <v>129</v>
      </c>
      <c r="G25" s="25" t="s">
        <v>130</v>
      </c>
      <c r="H25" s="24" t="s">
        <v>109</v>
      </c>
      <c r="I25" s="24" t="s">
        <v>90</v>
      </c>
      <c r="J25" s="24" t="s">
        <v>91</v>
      </c>
      <c r="K25" s="24" t="s">
        <v>91</v>
      </c>
      <c r="L25" s="26" t="s">
        <v>131</v>
      </c>
      <c r="M25" s="25"/>
      <c r="N25" s="28" t="e">
        <f>VLOOKUP(Table1[[#This Row],[ID TOKO]],Data_Aktual,4,FALSE)</f>
        <v>#N/A</v>
      </c>
      <c r="O25" s="29" t="s">
        <v>3060</v>
      </c>
      <c r="R25" s="5"/>
      <c r="S25" s="5"/>
    </row>
    <row r="26" spans="1:19" s="1" customFormat="1" ht="20.25" customHeight="1" x14ac:dyDescent="0.3">
      <c r="A26" s="1">
        <v>1</v>
      </c>
      <c r="B26" s="23">
        <v>20</v>
      </c>
      <c r="C26" s="24" t="s">
        <v>13</v>
      </c>
      <c r="D26" s="24" t="s">
        <v>132</v>
      </c>
      <c r="E26" s="24" t="s">
        <v>133</v>
      </c>
      <c r="F26" s="24" t="s">
        <v>129</v>
      </c>
      <c r="G26" s="25" t="s">
        <v>134</v>
      </c>
      <c r="H26" s="24" t="s">
        <v>109</v>
      </c>
      <c r="I26" s="24" t="s">
        <v>90</v>
      </c>
      <c r="J26" s="24" t="s">
        <v>91</v>
      </c>
      <c r="K26" s="24" t="s">
        <v>91</v>
      </c>
      <c r="L26" s="26" t="s">
        <v>135</v>
      </c>
      <c r="M26" s="27" t="s">
        <v>136</v>
      </c>
      <c r="N26" s="28" t="e">
        <f>VLOOKUP(Table1[[#This Row],[ID TOKO]],Data_Aktual,4,FALSE)</f>
        <v>#N/A</v>
      </c>
      <c r="O26" s="29" t="s">
        <v>3058</v>
      </c>
      <c r="R26" s="5"/>
      <c r="S26" s="5"/>
    </row>
    <row r="27" spans="1:19" s="1" customFormat="1" ht="20.25" customHeight="1" x14ac:dyDescent="0.25">
      <c r="A27" s="1">
        <v>1</v>
      </c>
      <c r="B27" s="23">
        <v>21</v>
      </c>
      <c r="C27" s="24" t="s">
        <v>13</v>
      </c>
      <c r="D27" s="24" t="s">
        <v>137</v>
      </c>
      <c r="E27" s="24" t="s">
        <v>138</v>
      </c>
      <c r="F27" s="24" t="s">
        <v>139</v>
      </c>
      <c r="G27" s="25" t="s">
        <v>140</v>
      </c>
      <c r="H27" s="24" t="s">
        <v>109</v>
      </c>
      <c r="I27" s="24" t="s">
        <v>90</v>
      </c>
      <c r="J27" s="24" t="s">
        <v>91</v>
      </c>
      <c r="K27" s="24" t="s">
        <v>91</v>
      </c>
      <c r="L27" s="26" t="s">
        <v>141</v>
      </c>
      <c r="M27" s="25"/>
      <c r="N27" s="28" t="e">
        <f>VLOOKUP(Table1[[#This Row],[ID TOKO]],Data_Aktual,4,FALSE)</f>
        <v>#N/A</v>
      </c>
      <c r="O27" s="29" t="s">
        <v>3056</v>
      </c>
      <c r="R27" s="5"/>
      <c r="S27" s="5"/>
    </row>
    <row r="28" spans="1:19" s="1" customFormat="1" ht="20.25" customHeight="1" x14ac:dyDescent="0.3">
      <c r="A28" s="1">
        <v>1</v>
      </c>
      <c r="B28" s="23">
        <v>22</v>
      </c>
      <c r="C28" s="24" t="s">
        <v>13</v>
      </c>
      <c r="D28" s="24" t="s">
        <v>142</v>
      </c>
      <c r="E28" s="24" t="s">
        <v>143</v>
      </c>
      <c r="F28" s="24" t="s">
        <v>144</v>
      </c>
      <c r="G28" s="25" t="s">
        <v>145</v>
      </c>
      <c r="H28" s="24" t="s">
        <v>109</v>
      </c>
      <c r="I28" s="24" t="s">
        <v>90</v>
      </c>
      <c r="J28" s="24" t="s">
        <v>91</v>
      </c>
      <c r="K28" s="24" t="s">
        <v>91</v>
      </c>
      <c r="L28" s="26" t="s">
        <v>146</v>
      </c>
      <c r="M28" s="27" t="s">
        <v>147</v>
      </c>
      <c r="N28" s="28" t="e">
        <f>VLOOKUP(Table1[[#This Row],[ID TOKO]],Data_Aktual,4,FALSE)</f>
        <v>#N/A</v>
      </c>
      <c r="O28" s="29" t="s">
        <v>3055</v>
      </c>
      <c r="R28" s="5"/>
      <c r="S28" s="5"/>
    </row>
    <row r="29" spans="1:19" s="1" customFormat="1" ht="20.25" customHeight="1" x14ac:dyDescent="0.25">
      <c r="A29" s="1">
        <v>1</v>
      </c>
      <c r="B29" s="23">
        <v>23</v>
      </c>
      <c r="C29" s="24" t="s">
        <v>13</v>
      </c>
      <c r="D29" s="24" t="s">
        <v>148</v>
      </c>
      <c r="E29" s="24" t="s">
        <v>149</v>
      </c>
      <c r="F29" s="25" t="s">
        <v>150</v>
      </c>
      <c r="G29" s="25" t="s">
        <v>151</v>
      </c>
      <c r="H29" s="24" t="s">
        <v>152</v>
      </c>
      <c r="I29" s="24" t="s">
        <v>90</v>
      </c>
      <c r="J29" s="24" t="s">
        <v>91</v>
      </c>
      <c r="K29" s="24" t="s">
        <v>91</v>
      </c>
      <c r="L29" s="26" t="s">
        <v>153</v>
      </c>
      <c r="M29" s="25"/>
      <c r="N29" s="28" t="e">
        <f>VLOOKUP(Table1[[#This Row],[ID TOKO]],Data_Aktual,4,FALSE)</f>
        <v>#N/A</v>
      </c>
      <c r="O29" s="29" t="s">
        <v>3053</v>
      </c>
      <c r="R29" s="5"/>
      <c r="S29" s="5"/>
    </row>
    <row r="30" spans="1:19" s="1" customFormat="1" ht="20.25" customHeight="1" x14ac:dyDescent="0.3">
      <c r="A30" s="1">
        <v>1</v>
      </c>
      <c r="B30" s="23">
        <v>24</v>
      </c>
      <c r="C30" s="24" t="s">
        <v>13</v>
      </c>
      <c r="D30" s="24" t="s">
        <v>154</v>
      </c>
      <c r="E30" s="24" t="s">
        <v>155</v>
      </c>
      <c r="F30" s="24" t="s">
        <v>156</v>
      </c>
      <c r="G30" s="25" t="s">
        <v>157</v>
      </c>
      <c r="H30" s="24" t="s">
        <v>109</v>
      </c>
      <c r="I30" s="24" t="s">
        <v>90</v>
      </c>
      <c r="J30" s="24" t="s">
        <v>91</v>
      </c>
      <c r="K30" s="24" t="s">
        <v>91</v>
      </c>
      <c r="L30" s="26" t="s">
        <v>158</v>
      </c>
      <c r="M30" s="27" t="s">
        <v>159</v>
      </c>
      <c r="N30" s="28" t="e">
        <f>VLOOKUP(Table1[[#This Row],[ID TOKO]],Data_Aktual,4,FALSE)</f>
        <v>#N/A</v>
      </c>
      <c r="O30" s="29" t="s">
        <v>3051</v>
      </c>
      <c r="R30" s="5"/>
      <c r="S30" s="5"/>
    </row>
    <row r="31" spans="1:19" s="1" customFormat="1" ht="20.25" customHeight="1" x14ac:dyDescent="0.25">
      <c r="A31" s="1">
        <v>1</v>
      </c>
      <c r="B31" s="23">
        <v>25</v>
      </c>
      <c r="C31" s="24" t="s">
        <v>13</v>
      </c>
      <c r="D31" s="24" t="s">
        <v>160</v>
      </c>
      <c r="E31" s="24" t="s">
        <v>161</v>
      </c>
      <c r="F31" s="24" t="s">
        <v>162</v>
      </c>
      <c r="G31" s="25" t="s">
        <v>163</v>
      </c>
      <c r="H31" s="24" t="s">
        <v>109</v>
      </c>
      <c r="I31" s="24" t="s">
        <v>90</v>
      </c>
      <c r="J31" s="24" t="s">
        <v>91</v>
      </c>
      <c r="K31" s="24" t="s">
        <v>91</v>
      </c>
      <c r="L31" s="26" t="s">
        <v>164</v>
      </c>
      <c r="M31" s="25"/>
      <c r="N31" s="28" t="e">
        <f>VLOOKUP(Table1[[#This Row],[ID TOKO]],Data_Aktual,4,FALSE)</f>
        <v>#N/A</v>
      </c>
      <c r="O31" s="29" t="s">
        <v>3049</v>
      </c>
      <c r="R31" s="5"/>
      <c r="S31" s="5"/>
    </row>
    <row r="32" spans="1:19" s="1" customFormat="1" ht="20.25" customHeight="1" x14ac:dyDescent="0.25">
      <c r="A32" s="1">
        <v>1</v>
      </c>
      <c r="B32" s="23">
        <v>26</v>
      </c>
      <c r="C32" s="24" t="s">
        <v>13</v>
      </c>
      <c r="D32" s="24" t="s">
        <v>165</v>
      </c>
      <c r="E32" s="24" t="s">
        <v>166</v>
      </c>
      <c r="F32" s="25" t="s">
        <v>113</v>
      </c>
      <c r="G32" s="25" t="s">
        <v>167</v>
      </c>
      <c r="H32" s="25" t="s">
        <v>89</v>
      </c>
      <c r="I32" s="24" t="s">
        <v>90</v>
      </c>
      <c r="J32" s="24" t="s">
        <v>91</v>
      </c>
      <c r="K32" s="25" t="s">
        <v>91</v>
      </c>
      <c r="L32" s="26" t="s">
        <v>168</v>
      </c>
      <c r="M32" s="25"/>
      <c r="N32" s="28" t="e">
        <f>VLOOKUP(Table1[[#This Row],[ID TOKO]],Data_Aktual,4,FALSE)</f>
        <v>#N/A</v>
      </c>
      <c r="O32" s="29" t="s">
        <v>3047</v>
      </c>
      <c r="R32" s="5"/>
      <c r="S32" s="5"/>
    </row>
    <row r="33" spans="1:20" ht="20.25" customHeight="1" x14ac:dyDescent="0.3">
      <c r="A33" s="1">
        <v>1</v>
      </c>
      <c r="B33" s="23">
        <v>27</v>
      </c>
      <c r="C33" s="24" t="s">
        <v>13</v>
      </c>
      <c r="D33" s="24" t="s">
        <v>169</v>
      </c>
      <c r="E33" s="24" t="s">
        <v>170</v>
      </c>
      <c r="F33" s="25" t="s">
        <v>171</v>
      </c>
      <c r="G33" s="25" t="s">
        <v>172</v>
      </c>
      <c r="H33" s="25" t="s">
        <v>173</v>
      </c>
      <c r="I33" s="25" t="s">
        <v>90</v>
      </c>
      <c r="J33" s="25" t="s">
        <v>174</v>
      </c>
      <c r="K33" s="25" t="s">
        <v>175</v>
      </c>
      <c r="L33" s="25" t="s">
        <v>176</v>
      </c>
      <c r="M33" s="27" t="s">
        <v>177</v>
      </c>
      <c r="N33" s="28" t="e">
        <f>VLOOKUP(Table1[[#This Row],[ID TOKO]],Data_Aktual,4,FALSE)</f>
        <v>#N/A</v>
      </c>
      <c r="O33" s="29" t="s">
        <v>2392</v>
      </c>
      <c r="P33" s="1"/>
      <c r="T33" s="1"/>
    </row>
    <row r="34" spans="1:20" s="1" customFormat="1" ht="20.25" customHeight="1" x14ac:dyDescent="0.3">
      <c r="A34" s="1">
        <v>1</v>
      </c>
      <c r="B34" s="23">
        <v>28</v>
      </c>
      <c r="C34" s="24" t="s">
        <v>13</v>
      </c>
      <c r="D34" s="24" t="s">
        <v>178</v>
      </c>
      <c r="E34" s="24" t="s">
        <v>179</v>
      </c>
      <c r="F34" s="25" t="s">
        <v>180</v>
      </c>
      <c r="G34" s="25" t="s">
        <v>181</v>
      </c>
      <c r="H34" s="24" t="s">
        <v>182</v>
      </c>
      <c r="I34" s="25" t="s">
        <v>90</v>
      </c>
      <c r="J34" s="25" t="s">
        <v>174</v>
      </c>
      <c r="K34" s="24" t="s">
        <v>175</v>
      </c>
      <c r="L34" s="26" t="s">
        <v>183</v>
      </c>
      <c r="M34" s="27" t="s">
        <v>184</v>
      </c>
      <c r="N34" s="28" t="e">
        <f>VLOOKUP(Table1[[#This Row],[ID TOKO]],Data_Aktual,4,FALSE)</f>
        <v>#N/A</v>
      </c>
      <c r="O34" s="29" t="s">
        <v>2627</v>
      </c>
      <c r="R34" s="5"/>
      <c r="S34" s="5"/>
    </row>
    <row r="35" spans="1:20" s="1" customFormat="1" ht="20.25" customHeight="1" x14ac:dyDescent="0.25">
      <c r="A35" s="1">
        <v>1</v>
      </c>
      <c r="B35" s="23">
        <v>29</v>
      </c>
      <c r="C35" s="24" t="s">
        <v>13</v>
      </c>
      <c r="D35" s="24" t="s">
        <v>185</v>
      </c>
      <c r="E35" s="24" t="s">
        <v>186</v>
      </c>
      <c r="F35" s="25" t="s">
        <v>187</v>
      </c>
      <c r="G35" s="25" t="s">
        <v>188</v>
      </c>
      <c r="H35" s="24" t="s">
        <v>173</v>
      </c>
      <c r="I35" s="25" t="s">
        <v>90</v>
      </c>
      <c r="J35" s="25" t="s">
        <v>174</v>
      </c>
      <c r="K35" s="24" t="s">
        <v>175</v>
      </c>
      <c r="L35" s="26" t="s">
        <v>189</v>
      </c>
      <c r="M35" s="25"/>
      <c r="N35" s="28" t="e">
        <f>VLOOKUP(Table1[[#This Row],[ID TOKO]],Data_Aktual,4,FALSE)</f>
        <v>#N/A</v>
      </c>
      <c r="O35" s="29" t="s">
        <v>2625</v>
      </c>
      <c r="R35" s="5"/>
      <c r="S35" s="5"/>
    </row>
    <row r="36" spans="1:20" s="1" customFormat="1" ht="20.25" customHeight="1" x14ac:dyDescent="0.3">
      <c r="A36" s="1">
        <v>1</v>
      </c>
      <c r="B36" s="23">
        <v>30</v>
      </c>
      <c r="C36" s="24" t="s">
        <v>13</v>
      </c>
      <c r="D36" s="24" t="s">
        <v>190</v>
      </c>
      <c r="E36" s="24" t="s">
        <v>191</v>
      </c>
      <c r="F36" s="24" t="s">
        <v>192</v>
      </c>
      <c r="G36" s="25" t="s">
        <v>193</v>
      </c>
      <c r="H36" s="24" t="s">
        <v>194</v>
      </c>
      <c r="I36" s="25" t="s">
        <v>90</v>
      </c>
      <c r="J36" s="25" t="s">
        <v>195</v>
      </c>
      <c r="K36" s="24" t="s">
        <v>196</v>
      </c>
      <c r="L36" s="26" t="s">
        <v>197</v>
      </c>
      <c r="M36" s="27" t="s">
        <v>198</v>
      </c>
      <c r="N36" s="28" t="e">
        <f>VLOOKUP(Table1[[#This Row],[ID TOKO]],Data_Aktual,4,FALSE)</f>
        <v>#N/A</v>
      </c>
      <c r="O36" s="29" t="s">
        <v>2623</v>
      </c>
      <c r="R36" s="5"/>
      <c r="S36" s="5"/>
    </row>
    <row r="37" spans="1:20" s="1" customFormat="1" ht="20.25" customHeight="1" x14ac:dyDescent="0.25">
      <c r="A37" s="1">
        <v>1</v>
      </c>
      <c r="B37" s="23">
        <v>31</v>
      </c>
      <c r="C37" s="24" t="s">
        <v>13</v>
      </c>
      <c r="D37" s="24" t="s">
        <v>199</v>
      </c>
      <c r="E37" s="24" t="s">
        <v>200</v>
      </c>
      <c r="F37" s="24" t="s">
        <v>201</v>
      </c>
      <c r="G37" s="25" t="s">
        <v>202</v>
      </c>
      <c r="H37" s="24" t="s">
        <v>203</v>
      </c>
      <c r="I37" s="25" t="s">
        <v>90</v>
      </c>
      <c r="J37" s="25" t="s">
        <v>195</v>
      </c>
      <c r="K37" s="24" t="s">
        <v>196</v>
      </c>
      <c r="L37" s="26" t="s">
        <v>204</v>
      </c>
      <c r="M37" s="25"/>
      <c r="N37" s="28" t="e">
        <f>VLOOKUP(Table1[[#This Row],[ID TOKO]],Data_Aktual,4,FALSE)</f>
        <v>#N/A</v>
      </c>
      <c r="O37" s="29" t="s">
        <v>2621</v>
      </c>
      <c r="R37" s="5"/>
      <c r="S37" s="5"/>
    </row>
    <row r="38" spans="1:20" s="1" customFormat="1" ht="20.25" customHeight="1" x14ac:dyDescent="0.25">
      <c r="A38" s="1">
        <v>1</v>
      </c>
      <c r="B38" s="23">
        <v>32</v>
      </c>
      <c r="C38" s="24" t="s">
        <v>13</v>
      </c>
      <c r="D38" s="24" t="s">
        <v>205</v>
      </c>
      <c r="E38" s="24"/>
      <c r="F38" s="24" t="s">
        <v>206</v>
      </c>
      <c r="G38" s="25" t="s">
        <v>207</v>
      </c>
      <c r="H38" s="24" t="s">
        <v>208</v>
      </c>
      <c r="I38" s="25" t="s">
        <v>90</v>
      </c>
      <c r="J38" s="25" t="s">
        <v>195</v>
      </c>
      <c r="K38" s="24" t="s">
        <v>196</v>
      </c>
      <c r="L38" s="26"/>
      <c r="M38" s="30"/>
      <c r="N38" s="28" t="e">
        <f>VLOOKUP(Table1[[#This Row],[ID TOKO]],Data_Aktual,4,FALSE)</f>
        <v>#N/A</v>
      </c>
      <c r="O38" s="31" t="s">
        <v>3132</v>
      </c>
      <c r="R38" s="5"/>
      <c r="S38" s="5"/>
    </row>
    <row r="39" spans="1:20" s="1" customFormat="1" ht="20.25" customHeight="1" x14ac:dyDescent="0.25">
      <c r="A39" s="1">
        <v>1</v>
      </c>
      <c r="B39" s="23">
        <v>33</v>
      </c>
      <c r="C39" s="24" t="s">
        <v>13</v>
      </c>
      <c r="D39" s="24" t="s">
        <v>209</v>
      </c>
      <c r="E39" s="24"/>
      <c r="F39" s="24" t="s">
        <v>210</v>
      </c>
      <c r="G39" s="25" t="s">
        <v>211</v>
      </c>
      <c r="H39" s="24" t="s">
        <v>194</v>
      </c>
      <c r="I39" s="25" t="s">
        <v>90</v>
      </c>
      <c r="J39" s="25" t="s">
        <v>195</v>
      </c>
      <c r="K39" s="24" t="s">
        <v>196</v>
      </c>
      <c r="L39" s="26"/>
      <c r="M39" s="30"/>
      <c r="N39" s="28" t="e">
        <f>VLOOKUP(Table1[[#This Row],[ID TOKO]],Data_Aktual,4,FALSE)</f>
        <v>#N/A</v>
      </c>
      <c r="O39" s="32" t="s">
        <v>3118</v>
      </c>
      <c r="R39" s="5"/>
      <c r="S39" s="5"/>
    </row>
    <row r="40" spans="1:20" s="1" customFormat="1" ht="20.25" customHeight="1" x14ac:dyDescent="0.25">
      <c r="A40" s="1">
        <v>1</v>
      </c>
      <c r="B40" s="23">
        <v>34</v>
      </c>
      <c r="C40" s="24" t="s">
        <v>13</v>
      </c>
      <c r="D40" s="24" t="s">
        <v>212</v>
      </c>
      <c r="E40" s="24" t="s">
        <v>213</v>
      </c>
      <c r="F40" s="24" t="s">
        <v>214</v>
      </c>
      <c r="G40" s="25" t="s">
        <v>215</v>
      </c>
      <c r="H40" s="24" t="s">
        <v>216</v>
      </c>
      <c r="I40" s="25" t="s">
        <v>90</v>
      </c>
      <c r="J40" s="24" t="s">
        <v>217</v>
      </c>
      <c r="K40" s="24" t="s">
        <v>218</v>
      </c>
      <c r="L40" s="26" t="s">
        <v>219</v>
      </c>
      <c r="M40" s="25"/>
      <c r="N40" s="28" t="e">
        <f>VLOOKUP(Table1[[#This Row],[ID TOKO]],Data_Aktual,4,FALSE)</f>
        <v>#N/A</v>
      </c>
      <c r="O40" s="29" t="s">
        <v>2619</v>
      </c>
      <c r="R40" s="5"/>
      <c r="S40" s="5"/>
    </row>
    <row r="41" spans="1:20" s="1" customFormat="1" ht="20.25" customHeight="1" x14ac:dyDescent="0.25">
      <c r="A41" s="1">
        <v>1</v>
      </c>
      <c r="B41" s="23">
        <v>35</v>
      </c>
      <c r="C41" s="24" t="s">
        <v>13</v>
      </c>
      <c r="D41" s="24" t="s">
        <v>220</v>
      </c>
      <c r="E41" s="24" t="s">
        <v>221</v>
      </c>
      <c r="F41" s="24" t="s">
        <v>222</v>
      </c>
      <c r="G41" s="25" t="s">
        <v>223</v>
      </c>
      <c r="H41" s="24" t="s">
        <v>224</v>
      </c>
      <c r="I41" s="25" t="s">
        <v>90</v>
      </c>
      <c r="J41" s="24" t="s">
        <v>225</v>
      </c>
      <c r="K41" s="24" t="s">
        <v>218</v>
      </c>
      <c r="L41" s="26"/>
      <c r="M41" s="25"/>
      <c r="N41" s="28" t="e">
        <f>VLOOKUP(Table1[[#This Row],[ID TOKO]],Data_Aktual,4,FALSE)</f>
        <v>#N/A</v>
      </c>
      <c r="O41" s="29" t="s">
        <v>2415</v>
      </c>
      <c r="R41" s="5"/>
      <c r="S41" s="5"/>
    </row>
    <row r="42" spans="1:20" s="1" customFormat="1" ht="20.25" customHeight="1" x14ac:dyDescent="0.25">
      <c r="A42" s="1">
        <v>1</v>
      </c>
      <c r="B42" s="23">
        <v>36</v>
      </c>
      <c r="C42" s="24" t="s">
        <v>13</v>
      </c>
      <c r="D42" s="24" t="s">
        <v>226</v>
      </c>
      <c r="E42" s="24"/>
      <c r="F42" s="24" t="s">
        <v>227</v>
      </c>
      <c r="G42" s="25" t="s">
        <v>228</v>
      </c>
      <c r="H42" s="24" t="s">
        <v>229</v>
      </c>
      <c r="I42" s="25" t="s">
        <v>90</v>
      </c>
      <c r="J42" s="24" t="s">
        <v>230</v>
      </c>
      <c r="K42" s="24" t="s">
        <v>218</v>
      </c>
      <c r="L42" s="26">
        <v>81212662003</v>
      </c>
      <c r="M42" s="30"/>
      <c r="N42" s="28" t="e">
        <f>VLOOKUP(Table1[[#This Row],[ID TOKO]],Data_Aktual,4,FALSE)</f>
        <v>#N/A</v>
      </c>
      <c r="O42" s="29" t="s">
        <v>2404</v>
      </c>
      <c r="R42" s="5"/>
      <c r="S42" s="5"/>
    </row>
    <row r="43" spans="1:20" s="1" customFormat="1" ht="20.25" customHeight="1" x14ac:dyDescent="0.3">
      <c r="A43" s="1">
        <v>1</v>
      </c>
      <c r="B43" s="23">
        <v>37</v>
      </c>
      <c r="C43" s="24" t="s">
        <v>13</v>
      </c>
      <c r="D43" s="24" t="s">
        <v>231</v>
      </c>
      <c r="E43" s="24" t="s">
        <v>232</v>
      </c>
      <c r="F43" s="24" t="s">
        <v>233</v>
      </c>
      <c r="G43" s="33" t="s">
        <v>234</v>
      </c>
      <c r="H43" s="24" t="s">
        <v>235</v>
      </c>
      <c r="I43" s="24" t="s">
        <v>19</v>
      </c>
      <c r="J43" s="24" t="s">
        <v>236</v>
      </c>
      <c r="K43" s="24" t="s">
        <v>235</v>
      </c>
      <c r="L43" s="26" t="s">
        <v>237</v>
      </c>
      <c r="M43" s="27" t="s">
        <v>238</v>
      </c>
      <c r="N43" s="28" t="e">
        <f>VLOOKUP(Table1[[#This Row],[ID TOKO]],Data_Aktual,4,FALSE)</f>
        <v>#N/A</v>
      </c>
      <c r="O43" s="29" t="s">
        <v>3046</v>
      </c>
      <c r="R43" s="5"/>
      <c r="S43" s="5"/>
    </row>
    <row r="44" spans="1:20" s="1" customFormat="1" ht="20.25" customHeight="1" x14ac:dyDescent="0.25">
      <c r="A44" s="1">
        <v>1</v>
      </c>
      <c r="B44" s="23">
        <v>38</v>
      </c>
      <c r="C44" s="24" t="s">
        <v>13</v>
      </c>
      <c r="D44" s="24" t="s">
        <v>239</v>
      </c>
      <c r="E44" s="24" t="s">
        <v>240</v>
      </c>
      <c r="F44" s="25" t="s">
        <v>241</v>
      </c>
      <c r="G44" s="25" t="s">
        <v>242</v>
      </c>
      <c r="H44" s="24" t="s">
        <v>235</v>
      </c>
      <c r="I44" s="24" t="s">
        <v>19</v>
      </c>
      <c r="J44" s="24" t="s">
        <v>236</v>
      </c>
      <c r="K44" s="24" t="s">
        <v>235</v>
      </c>
      <c r="L44" s="26" t="s">
        <v>243</v>
      </c>
      <c r="M44" s="25"/>
      <c r="N44" s="28" t="e">
        <f>VLOOKUP(Table1[[#This Row],[ID TOKO]],Data_Aktual,4,FALSE)</f>
        <v>#N/A</v>
      </c>
      <c r="O44" s="29" t="s">
        <v>3044</v>
      </c>
      <c r="R44" s="5"/>
      <c r="S44" s="5"/>
    </row>
    <row r="45" spans="1:20" s="1" customFormat="1" ht="20.25" customHeight="1" x14ac:dyDescent="0.3">
      <c r="A45" s="1">
        <v>1</v>
      </c>
      <c r="B45" s="23">
        <v>39</v>
      </c>
      <c r="C45" s="24" t="s">
        <v>13</v>
      </c>
      <c r="D45" s="24" t="s">
        <v>244</v>
      </c>
      <c r="E45" s="24" t="s">
        <v>245</v>
      </c>
      <c r="F45" s="24" t="s">
        <v>246</v>
      </c>
      <c r="G45" s="25" t="s">
        <v>247</v>
      </c>
      <c r="H45" s="24" t="s">
        <v>235</v>
      </c>
      <c r="I45" s="24" t="s">
        <v>19</v>
      </c>
      <c r="J45" s="24" t="s">
        <v>236</v>
      </c>
      <c r="K45" s="24" t="s">
        <v>235</v>
      </c>
      <c r="L45" s="26" t="s">
        <v>248</v>
      </c>
      <c r="M45" s="27" t="s">
        <v>249</v>
      </c>
      <c r="N45" s="28" t="e">
        <f>VLOOKUP(Table1[[#This Row],[ID TOKO]],Data_Aktual,4,FALSE)</f>
        <v>#N/A</v>
      </c>
      <c r="O45" s="29" t="s">
        <v>3042</v>
      </c>
      <c r="R45" s="5"/>
      <c r="S45" s="5"/>
    </row>
    <row r="46" spans="1:20" s="1" customFormat="1" ht="20.25" customHeight="1" x14ac:dyDescent="0.3">
      <c r="A46" s="1">
        <v>1</v>
      </c>
      <c r="B46" s="23">
        <v>40</v>
      </c>
      <c r="C46" s="24" t="s">
        <v>13</v>
      </c>
      <c r="D46" s="24" t="s">
        <v>250</v>
      </c>
      <c r="E46" s="24" t="s">
        <v>251</v>
      </c>
      <c r="F46" s="24" t="s">
        <v>252</v>
      </c>
      <c r="G46" s="25" t="s">
        <v>253</v>
      </c>
      <c r="H46" s="24" t="s">
        <v>235</v>
      </c>
      <c r="I46" s="24" t="s">
        <v>19</v>
      </c>
      <c r="J46" s="24" t="s">
        <v>236</v>
      </c>
      <c r="K46" s="24" t="s">
        <v>235</v>
      </c>
      <c r="L46" s="26" t="s">
        <v>254</v>
      </c>
      <c r="M46" s="27" t="s">
        <v>255</v>
      </c>
      <c r="N46" s="28" t="e">
        <f>VLOOKUP(Table1[[#This Row],[ID TOKO]],Data_Aktual,4,FALSE)</f>
        <v>#N/A</v>
      </c>
      <c r="O46" s="29" t="s">
        <v>3040</v>
      </c>
      <c r="R46" s="5"/>
      <c r="S46" s="5"/>
    </row>
    <row r="47" spans="1:20" s="1" customFormat="1" ht="20.25" customHeight="1" x14ac:dyDescent="0.25">
      <c r="A47" s="1">
        <v>1</v>
      </c>
      <c r="B47" s="23">
        <v>41</v>
      </c>
      <c r="C47" s="24" t="s">
        <v>13</v>
      </c>
      <c r="D47" s="24" t="s">
        <v>256</v>
      </c>
      <c r="E47" s="24" t="s">
        <v>257</v>
      </c>
      <c r="F47" s="24" t="s">
        <v>258</v>
      </c>
      <c r="G47" s="25" t="s">
        <v>259</v>
      </c>
      <c r="H47" s="24" t="s">
        <v>260</v>
      </c>
      <c r="I47" s="24" t="s">
        <v>19</v>
      </c>
      <c r="J47" s="24" t="s">
        <v>261</v>
      </c>
      <c r="K47" s="24" t="s">
        <v>261</v>
      </c>
      <c r="L47" s="26" t="s">
        <v>262</v>
      </c>
      <c r="M47" s="25"/>
      <c r="N47" s="28" t="e">
        <f>VLOOKUP(Table1[[#This Row],[ID TOKO]],Data_Aktual,4,FALSE)</f>
        <v>#N/A</v>
      </c>
      <c r="O47" s="29" t="s">
        <v>3038</v>
      </c>
      <c r="R47" s="5"/>
      <c r="S47" s="5"/>
    </row>
    <row r="48" spans="1:20" s="1" customFormat="1" ht="20.25" customHeight="1" x14ac:dyDescent="0.3">
      <c r="A48" s="1">
        <v>1</v>
      </c>
      <c r="B48" s="23">
        <v>42</v>
      </c>
      <c r="C48" s="24" t="s">
        <v>13</v>
      </c>
      <c r="D48" s="24" t="s">
        <v>263</v>
      </c>
      <c r="E48" s="24" t="s">
        <v>264</v>
      </c>
      <c r="F48" s="24" t="s">
        <v>265</v>
      </c>
      <c r="G48" s="25" t="s">
        <v>266</v>
      </c>
      <c r="H48" s="24" t="s">
        <v>261</v>
      </c>
      <c r="I48" s="24" t="s">
        <v>19</v>
      </c>
      <c r="J48" s="24" t="s">
        <v>261</v>
      </c>
      <c r="K48" s="24" t="s">
        <v>261</v>
      </c>
      <c r="L48" s="26" t="s">
        <v>267</v>
      </c>
      <c r="M48" s="27" t="s">
        <v>268</v>
      </c>
      <c r="N48" s="28" t="e">
        <f>VLOOKUP(Table1[[#This Row],[ID TOKO]],Data_Aktual,4,FALSE)</f>
        <v>#N/A</v>
      </c>
      <c r="O48" s="29" t="s">
        <v>3036</v>
      </c>
      <c r="R48" s="5"/>
      <c r="S48" s="5"/>
    </row>
    <row r="49" spans="1:20" s="1" customFormat="1" ht="20.25" customHeight="1" x14ac:dyDescent="0.3">
      <c r="A49" s="1">
        <v>1</v>
      </c>
      <c r="B49" s="23">
        <v>43</v>
      </c>
      <c r="C49" s="24" t="s">
        <v>13</v>
      </c>
      <c r="D49" s="24" t="s">
        <v>269</v>
      </c>
      <c r="E49" s="24" t="s">
        <v>270</v>
      </c>
      <c r="F49" s="24" t="s">
        <v>271</v>
      </c>
      <c r="G49" s="25" t="s">
        <v>272</v>
      </c>
      <c r="H49" s="24" t="s">
        <v>261</v>
      </c>
      <c r="I49" s="24" t="s">
        <v>19</v>
      </c>
      <c r="J49" s="24" t="s">
        <v>261</v>
      </c>
      <c r="K49" s="24" t="s">
        <v>261</v>
      </c>
      <c r="L49" s="26" t="s">
        <v>273</v>
      </c>
      <c r="M49" s="27" t="s">
        <v>274</v>
      </c>
      <c r="N49" s="28" t="e">
        <f>VLOOKUP(Table1[[#This Row],[ID TOKO]],Data_Aktual,4,FALSE)</f>
        <v>#N/A</v>
      </c>
      <c r="O49" s="29" t="s">
        <v>3034</v>
      </c>
      <c r="R49" s="5"/>
      <c r="S49" s="5"/>
    </row>
    <row r="50" spans="1:20" s="1" customFormat="1" ht="20.25" customHeight="1" x14ac:dyDescent="0.3">
      <c r="A50" s="1">
        <v>1</v>
      </c>
      <c r="B50" s="23">
        <v>44</v>
      </c>
      <c r="C50" s="24" t="s">
        <v>13</v>
      </c>
      <c r="D50" s="24" t="s">
        <v>275</v>
      </c>
      <c r="E50" s="24" t="s">
        <v>276</v>
      </c>
      <c r="F50" s="24" t="s">
        <v>50</v>
      </c>
      <c r="G50" s="25" t="s">
        <v>277</v>
      </c>
      <c r="H50" s="24" t="s">
        <v>261</v>
      </c>
      <c r="I50" s="24" t="s">
        <v>19</v>
      </c>
      <c r="J50" s="24" t="s">
        <v>261</v>
      </c>
      <c r="K50" s="24" t="s">
        <v>261</v>
      </c>
      <c r="L50" s="26" t="s">
        <v>278</v>
      </c>
      <c r="M50" s="27" t="s">
        <v>279</v>
      </c>
      <c r="N50" s="28" t="e">
        <f>VLOOKUP(Table1[[#This Row],[ID TOKO]],Data_Aktual,4,FALSE)</f>
        <v>#N/A</v>
      </c>
      <c r="O50" s="29" t="s">
        <v>3032</v>
      </c>
      <c r="R50" s="5"/>
      <c r="S50" s="5"/>
    </row>
    <row r="51" spans="1:20" s="1" customFormat="1" ht="20.25" customHeight="1" x14ac:dyDescent="0.25">
      <c r="A51" s="1">
        <v>1</v>
      </c>
      <c r="B51" s="23">
        <v>45</v>
      </c>
      <c r="C51" s="24" t="s">
        <v>13</v>
      </c>
      <c r="D51" s="24" t="s">
        <v>280</v>
      </c>
      <c r="E51" s="24" t="s">
        <v>281</v>
      </c>
      <c r="F51" s="24" t="s">
        <v>282</v>
      </c>
      <c r="G51" s="33" t="s">
        <v>283</v>
      </c>
      <c r="H51" s="24" t="s">
        <v>260</v>
      </c>
      <c r="I51" s="24" t="s">
        <v>19</v>
      </c>
      <c r="J51" s="24" t="s">
        <v>261</v>
      </c>
      <c r="K51" s="24" t="s">
        <v>261</v>
      </c>
      <c r="L51" s="34" t="s">
        <v>284</v>
      </c>
      <c r="M51" s="25"/>
      <c r="N51" s="28" t="e">
        <f>VLOOKUP(Table1[[#This Row],[ID TOKO]],Data_Aktual,4,FALSE)</f>
        <v>#N/A</v>
      </c>
      <c r="O51" s="29" t="s">
        <v>3030</v>
      </c>
      <c r="R51" s="5"/>
      <c r="S51" s="5"/>
    </row>
    <row r="52" spans="1:20" s="1" customFormat="1" ht="20.25" customHeight="1" x14ac:dyDescent="0.3">
      <c r="A52" s="1">
        <v>1</v>
      </c>
      <c r="B52" s="23">
        <v>46</v>
      </c>
      <c r="C52" s="24" t="s">
        <v>13</v>
      </c>
      <c r="D52" s="24" t="s">
        <v>285</v>
      </c>
      <c r="E52" s="24" t="s">
        <v>286</v>
      </c>
      <c r="F52" s="24" t="s">
        <v>287</v>
      </c>
      <c r="G52" s="24" t="s">
        <v>288</v>
      </c>
      <c r="H52" s="24" t="s">
        <v>289</v>
      </c>
      <c r="I52" s="24" t="s">
        <v>290</v>
      </c>
      <c r="J52" s="24" t="s">
        <v>291</v>
      </c>
      <c r="K52" s="24" t="s">
        <v>291</v>
      </c>
      <c r="L52" s="26" t="s">
        <v>292</v>
      </c>
      <c r="M52" s="27" t="s">
        <v>293</v>
      </c>
      <c r="N52" s="28" t="e">
        <f>VLOOKUP(Table1[[#This Row],[ID TOKO]],Data_Aktual,4,FALSE)</f>
        <v>#N/A</v>
      </c>
      <c r="O52" s="29" t="s">
        <v>3028</v>
      </c>
      <c r="R52" s="5"/>
      <c r="S52" s="5"/>
    </row>
    <row r="53" spans="1:20" s="1" customFormat="1" ht="20.25" customHeight="1" x14ac:dyDescent="0.3">
      <c r="A53" s="1">
        <v>1</v>
      </c>
      <c r="B53" s="23">
        <v>47</v>
      </c>
      <c r="C53" s="24" t="s">
        <v>13</v>
      </c>
      <c r="D53" s="24" t="s">
        <v>294</v>
      </c>
      <c r="E53" s="24" t="s">
        <v>295</v>
      </c>
      <c r="F53" s="24" t="s">
        <v>296</v>
      </c>
      <c r="G53" s="25" t="s">
        <v>297</v>
      </c>
      <c r="H53" s="24" t="s">
        <v>298</v>
      </c>
      <c r="I53" s="24" t="s">
        <v>290</v>
      </c>
      <c r="J53" s="24" t="s">
        <v>291</v>
      </c>
      <c r="K53" s="24" t="s">
        <v>291</v>
      </c>
      <c r="L53" s="26" t="s">
        <v>299</v>
      </c>
      <c r="M53" s="27" t="s">
        <v>300</v>
      </c>
      <c r="N53" s="28" t="e">
        <f>VLOOKUP(Table1[[#This Row],[ID TOKO]],Data_Aktual,4,FALSE)</f>
        <v>#N/A</v>
      </c>
      <c r="O53" s="29" t="s">
        <v>3026</v>
      </c>
      <c r="R53" s="5"/>
      <c r="S53" s="5"/>
    </row>
    <row r="54" spans="1:20" s="1" customFormat="1" ht="20.25" customHeight="1" x14ac:dyDescent="0.3">
      <c r="A54" s="1">
        <v>1</v>
      </c>
      <c r="B54" s="23">
        <v>48</v>
      </c>
      <c r="C54" s="24" t="s">
        <v>13</v>
      </c>
      <c r="D54" s="24" t="s">
        <v>301</v>
      </c>
      <c r="E54" s="24" t="s">
        <v>302</v>
      </c>
      <c r="F54" s="25" t="s">
        <v>303</v>
      </c>
      <c r="G54" s="25" t="s">
        <v>304</v>
      </c>
      <c r="H54" s="25" t="s">
        <v>298</v>
      </c>
      <c r="I54" s="24" t="s">
        <v>290</v>
      </c>
      <c r="J54" s="24" t="s">
        <v>291</v>
      </c>
      <c r="K54" s="25" t="s">
        <v>291</v>
      </c>
      <c r="L54" s="25"/>
      <c r="M54" s="27" t="s">
        <v>300</v>
      </c>
      <c r="N54" s="28" t="e">
        <f>VLOOKUP(Table1[[#This Row],[ID TOKO]],Data_Aktual,4,FALSE)</f>
        <v>#N/A</v>
      </c>
      <c r="O54" s="29" t="s">
        <v>3024</v>
      </c>
      <c r="R54" s="5"/>
      <c r="S54" s="5"/>
    </row>
    <row r="55" spans="1:20" ht="20.25" customHeight="1" x14ac:dyDescent="0.3">
      <c r="A55" s="1">
        <v>1</v>
      </c>
      <c r="B55" s="23">
        <v>49</v>
      </c>
      <c r="C55" s="24" t="s">
        <v>13</v>
      </c>
      <c r="D55" s="24" t="s">
        <v>305</v>
      </c>
      <c r="E55" s="24" t="s">
        <v>306</v>
      </c>
      <c r="F55" s="24" t="s">
        <v>307</v>
      </c>
      <c r="G55" s="25" t="s">
        <v>308</v>
      </c>
      <c r="H55" s="24" t="s">
        <v>309</v>
      </c>
      <c r="I55" s="24" t="s">
        <v>290</v>
      </c>
      <c r="J55" s="24" t="s">
        <v>291</v>
      </c>
      <c r="K55" s="24" t="s">
        <v>291</v>
      </c>
      <c r="L55" s="26" t="s">
        <v>310</v>
      </c>
      <c r="M55" s="27" t="s">
        <v>311</v>
      </c>
      <c r="N55" s="28" t="e">
        <f>VLOOKUP(Table1[[#This Row],[ID TOKO]],Data_Aktual,4,FALSE)</f>
        <v>#N/A</v>
      </c>
      <c r="O55" s="29" t="s">
        <v>3022</v>
      </c>
      <c r="P55" s="1"/>
      <c r="T55" s="1"/>
    </row>
    <row r="56" spans="1:20" s="1" customFormat="1" ht="20.25" customHeight="1" x14ac:dyDescent="0.3">
      <c r="A56" s="1">
        <v>1</v>
      </c>
      <c r="B56" s="23">
        <v>50</v>
      </c>
      <c r="C56" s="24" t="s">
        <v>13</v>
      </c>
      <c r="D56" s="24" t="s">
        <v>312</v>
      </c>
      <c r="E56" s="24" t="s">
        <v>313</v>
      </c>
      <c r="F56" s="25" t="s">
        <v>314</v>
      </c>
      <c r="G56" s="25" t="s">
        <v>315</v>
      </c>
      <c r="H56" s="25" t="s">
        <v>316</v>
      </c>
      <c r="I56" s="24" t="s">
        <v>290</v>
      </c>
      <c r="J56" s="24" t="s">
        <v>291</v>
      </c>
      <c r="K56" s="25" t="s">
        <v>291</v>
      </c>
      <c r="L56" s="25" t="s">
        <v>317</v>
      </c>
      <c r="M56" s="27" t="s">
        <v>318</v>
      </c>
      <c r="N56" s="28" t="e">
        <f>VLOOKUP(Table1[[#This Row],[ID TOKO]],Data_Aktual,4,FALSE)</f>
        <v>#N/A</v>
      </c>
      <c r="O56" s="29" t="s">
        <v>3020</v>
      </c>
      <c r="R56" s="5"/>
      <c r="S56" s="5"/>
    </row>
    <row r="57" spans="1:20" s="1" customFormat="1" ht="20.25" customHeight="1" x14ac:dyDescent="0.3">
      <c r="A57" s="1">
        <v>1</v>
      </c>
      <c r="B57" s="23">
        <v>51</v>
      </c>
      <c r="C57" s="24" t="s">
        <v>13</v>
      </c>
      <c r="D57" s="24" t="s">
        <v>319</v>
      </c>
      <c r="E57" s="24" t="s">
        <v>320</v>
      </c>
      <c r="F57" s="24" t="s">
        <v>321</v>
      </c>
      <c r="G57" s="24" t="s">
        <v>322</v>
      </c>
      <c r="H57" s="24" t="s">
        <v>289</v>
      </c>
      <c r="I57" s="24" t="s">
        <v>290</v>
      </c>
      <c r="J57" s="24" t="s">
        <v>291</v>
      </c>
      <c r="K57" s="24" t="s">
        <v>291</v>
      </c>
      <c r="L57" s="26" t="s">
        <v>323</v>
      </c>
      <c r="M57" s="27" t="s">
        <v>324</v>
      </c>
      <c r="N57" s="28" t="e">
        <f>VLOOKUP(Table1[[#This Row],[ID TOKO]],Data_Aktual,4,FALSE)</f>
        <v>#N/A</v>
      </c>
      <c r="O57" s="29" t="s">
        <v>3018</v>
      </c>
      <c r="R57" s="5"/>
      <c r="S57" s="5"/>
    </row>
    <row r="58" spans="1:20" s="1" customFormat="1" ht="20.25" customHeight="1" x14ac:dyDescent="0.25">
      <c r="A58" s="1">
        <v>1</v>
      </c>
      <c r="B58" s="23">
        <v>52</v>
      </c>
      <c r="C58" s="24" t="s">
        <v>13</v>
      </c>
      <c r="D58" s="24" t="s">
        <v>325</v>
      </c>
      <c r="E58" s="24" t="s">
        <v>326</v>
      </c>
      <c r="F58" s="24" t="s">
        <v>327</v>
      </c>
      <c r="G58" s="24" t="s">
        <v>328</v>
      </c>
      <c r="H58" s="24" t="s">
        <v>289</v>
      </c>
      <c r="I58" s="24" t="s">
        <v>290</v>
      </c>
      <c r="J58" s="24" t="s">
        <v>291</v>
      </c>
      <c r="K58" s="24" t="s">
        <v>291</v>
      </c>
      <c r="L58" s="26" t="s">
        <v>329</v>
      </c>
      <c r="M58" s="25"/>
      <c r="N58" s="28" t="e">
        <f>VLOOKUP(Table1[[#This Row],[ID TOKO]],Data_Aktual,4,FALSE)</f>
        <v>#N/A</v>
      </c>
      <c r="O58" s="29" t="s">
        <v>3016</v>
      </c>
      <c r="R58" s="5"/>
      <c r="S58" s="5"/>
    </row>
    <row r="59" spans="1:20" s="1" customFormat="1" ht="20.25" customHeight="1" x14ac:dyDescent="0.25">
      <c r="A59" s="1">
        <v>1</v>
      </c>
      <c r="B59" s="23">
        <v>53</v>
      </c>
      <c r="C59" s="24" t="s">
        <v>13</v>
      </c>
      <c r="D59" s="24" t="s">
        <v>330</v>
      </c>
      <c r="E59" s="24" t="s">
        <v>331</v>
      </c>
      <c r="F59" s="24" t="s">
        <v>332</v>
      </c>
      <c r="G59" s="24" t="s">
        <v>333</v>
      </c>
      <c r="H59" s="24" t="s">
        <v>334</v>
      </c>
      <c r="I59" s="24" t="s">
        <v>290</v>
      </c>
      <c r="J59" s="24" t="s">
        <v>291</v>
      </c>
      <c r="K59" s="24" t="s">
        <v>291</v>
      </c>
      <c r="L59" s="26" t="s">
        <v>335</v>
      </c>
      <c r="M59" s="25"/>
      <c r="N59" s="28" t="e">
        <f>VLOOKUP(Table1[[#This Row],[ID TOKO]],Data_Aktual,4,FALSE)</f>
        <v>#N/A</v>
      </c>
      <c r="O59" s="29" t="s">
        <v>3015</v>
      </c>
      <c r="R59" s="5"/>
      <c r="S59" s="5"/>
    </row>
    <row r="60" spans="1:20" s="1" customFormat="1" ht="20.25" customHeight="1" x14ac:dyDescent="0.3">
      <c r="A60" s="1">
        <v>1</v>
      </c>
      <c r="B60" s="23">
        <v>54</v>
      </c>
      <c r="C60" s="24" t="s">
        <v>13</v>
      </c>
      <c r="D60" s="24" t="s">
        <v>336</v>
      </c>
      <c r="E60" s="24" t="s">
        <v>337</v>
      </c>
      <c r="F60" s="24" t="s">
        <v>338</v>
      </c>
      <c r="G60" s="25" t="s">
        <v>339</v>
      </c>
      <c r="H60" s="24" t="s">
        <v>289</v>
      </c>
      <c r="I60" s="24" t="s">
        <v>290</v>
      </c>
      <c r="J60" s="24" t="s">
        <v>291</v>
      </c>
      <c r="K60" s="24" t="s">
        <v>291</v>
      </c>
      <c r="L60" s="26" t="s">
        <v>340</v>
      </c>
      <c r="M60" s="27" t="s">
        <v>341</v>
      </c>
      <c r="N60" s="28" t="e">
        <f>VLOOKUP(Table1[[#This Row],[ID TOKO]],Data_Aktual,4,FALSE)</f>
        <v>#N/A</v>
      </c>
      <c r="O60" s="29" t="s">
        <v>3013</v>
      </c>
      <c r="R60" s="5"/>
      <c r="S60" s="5"/>
    </row>
    <row r="61" spans="1:20" s="1" customFormat="1" ht="20.25" customHeight="1" x14ac:dyDescent="0.25">
      <c r="A61" s="1">
        <v>1</v>
      </c>
      <c r="B61" s="23">
        <v>55</v>
      </c>
      <c r="C61" s="24" t="s">
        <v>13</v>
      </c>
      <c r="D61" s="24" t="s">
        <v>342</v>
      </c>
      <c r="E61" s="24" t="s">
        <v>343</v>
      </c>
      <c r="F61" s="24" t="s">
        <v>344</v>
      </c>
      <c r="G61" s="25" t="s">
        <v>345</v>
      </c>
      <c r="H61" s="24" t="s">
        <v>346</v>
      </c>
      <c r="I61" s="24" t="s">
        <v>290</v>
      </c>
      <c r="J61" s="24" t="s">
        <v>291</v>
      </c>
      <c r="K61" s="24" t="s">
        <v>291</v>
      </c>
      <c r="L61" s="26" t="s">
        <v>347</v>
      </c>
      <c r="M61" s="25"/>
      <c r="N61" s="28" t="e">
        <f>VLOOKUP(Table1[[#This Row],[ID TOKO]],Data_Aktual,4,FALSE)</f>
        <v>#N/A</v>
      </c>
      <c r="O61" s="29" t="s">
        <v>3011</v>
      </c>
      <c r="R61" s="5"/>
      <c r="S61" s="5"/>
    </row>
    <row r="62" spans="1:20" s="1" customFormat="1" ht="20.25" customHeight="1" x14ac:dyDescent="0.3">
      <c r="A62" s="1">
        <v>1</v>
      </c>
      <c r="B62" s="23">
        <v>56</v>
      </c>
      <c r="C62" s="24" t="s">
        <v>13</v>
      </c>
      <c r="D62" s="24" t="s">
        <v>348</v>
      </c>
      <c r="E62" s="24" t="s">
        <v>349</v>
      </c>
      <c r="F62" s="24" t="s">
        <v>350</v>
      </c>
      <c r="G62" s="24" t="s">
        <v>351</v>
      </c>
      <c r="H62" s="24" t="s">
        <v>352</v>
      </c>
      <c r="I62" s="24" t="s">
        <v>290</v>
      </c>
      <c r="J62" s="24" t="s">
        <v>291</v>
      </c>
      <c r="K62" s="24" t="s">
        <v>291</v>
      </c>
      <c r="L62" s="26" t="s">
        <v>353</v>
      </c>
      <c r="M62" s="27" t="s">
        <v>354</v>
      </c>
      <c r="N62" s="28" t="e">
        <f>VLOOKUP(Table1[[#This Row],[ID TOKO]],Data_Aktual,4,FALSE)</f>
        <v>#N/A</v>
      </c>
      <c r="O62" s="29" t="s">
        <v>3009</v>
      </c>
      <c r="R62" s="5"/>
      <c r="S62" s="5"/>
    </row>
    <row r="63" spans="1:20" s="1" customFormat="1" ht="20.25" customHeight="1" x14ac:dyDescent="0.25">
      <c r="A63" s="1">
        <v>1</v>
      </c>
      <c r="B63" s="23">
        <v>57</v>
      </c>
      <c r="C63" s="24" t="s">
        <v>13</v>
      </c>
      <c r="D63" s="24" t="s">
        <v>355</v>
      </c>
      <c r="E63" s="24" t="s">
        <v>356</v>
      </c>
      <c r="F63" s="25" t="s">
        <v>357</v>
      </c>
      <c r="G63" s="25" t="s">
        <v>358</v>
      </c>
      <c r="H63" s="25" t="s">
        <v>289</v>
      </c>
      <c r="I63" s="24" t="s">
        <v>290</v>
      </c>
      <c r="J63" s="24" t="s">
        <v>291</v>
      </c>
      <c r="K63" s="25" t="s">
        <v>291</v>
      </c>
      <c r="L63" s="26" t="s">
        <v>359</v>
      </c>
      <c r="M63" s="25"/>
      <c r="N63" s="28" t="e">
        <f>VLOOKUP(Table1[[#This Row],[ID TOKO]],Data_Aktual,4,FALSE)</f>
        <v>#N/A</v>
      </c>
      <c r="O63" s="29" t="s">
        <v>3007</v>
      </c>
      <c r="R63" s="5"/>
      <c r="S63" s="5"/>
    </row>
    <row r="64" spans="1:20" s="1" customFormat="1" ht="20.25" customHeight="1" x14ac:dyDescent="0.25">
      <c r="A64" s="1">
        <v>1</v>
      </c>
      <c r="B64" s="23">
        <v>58</v>
      </c>
      <c r="C64" s="24" t="s">
        <v>13</v>
      </c>
      <c r="D64" s="24" t="s">
        <v>360</v>
      </c>
      <c r="E64" s="24" t="s">
        <v>361</v>
      </c>
      <c r="F64" s="35" t="s">
        <v>357</v>
      </c>
      <c r="G64" s="25" t="s">
        <v>362</v>
      </c>
      <c r="H64" s="24" t="s">
        <v>289</v>
      </c>
      <c r="I64" s="24" t="s">
        <v>290</v>
      </c>
      <c r="J64" s="24" t="s">
        <v>291</v>
      </c>
      <c r="K64" s="24" t="s">
        <v>291</v>
      </c>
      <c r="L64" s="26"/>
      <c r="M64" s="25"/>
      <c r="N64" s="28" t="e">
        <f>VLOOKUP(Table1[[#This Row],[ID TOKO]],Data_Aktual,4,FALSE)</f>
        <v>#N/A</v>
      </c>
      <c r="O64" s="29" t="s">
        <v>3005</v>
      </c>
      <c r="R64" s="5"/>
      <c r="S64" s="5"/>
    </row>
    <row r="65" spans="1:20" s="1" customFormat="1" ht="20.25" customHeight="1" x14ac:dyDescent="0.3">
      <c r="A65" s="1">
        <v>1</v>
      </c>
      <c r="B65" s="23">
        <v>59</v>
      </c>
      <c r="C65" s="24" t="s">
        <v>13</v>
      </c>
      <c r="D65" s="24" t="s">
        <v>363</v>
      </c>
      <c r="E65" s="24" t="s">
        <v>364</v>
      </c>
      <c r="F65" s="24" t="s">
        <v>365</v>
      </c>
      <c r="G65" s="24" t="s">
        <v>366</v>
      </c>
      <c r="H65" s="24" t="s">
        <v>352</v>
      </c>
      <c r="I65" s="24" t="s">
        <v>290</v>
      </c>
      <c r="J65" s="24" t="s">
        <v>291</v>
      </c>
      <c r="K65" s="24" t="s">
        <v>291</v>
      </c>
      <c r="L65" s="26" t="s">
        <v>367</v>
      </c>
      <c r="M65" s="27" t="s">
        <v>368</v>
      </c>
      <c r="N65" s="28" t="e">
        <f>VLOOKUP(Table1[[#This Row],[ID TOKO]],Data_Aktual,4,FALSE)</f>
        <v>#N/A</v>
      </c>
      <c r="O65" s="29" t="s">
        <v>3003</v>
      </c>
      <c r="R65" s="5"/>
      <c r="S65" s="5"/>
    </row>
    <row r="66" spans="1:20" s="1" customFormat="1" ht="20.25" customHeight="1" x14ac:dyDescent="0.3">
      <c r="A66" s="1">
        <v>1</v>
      </c>
      <c r="B66" s="23">
        <v>60</v>
      </c>
      <c r="C66" s="24" t="s">
        <v>13</v>
      </c>
      <c r="D66" s="24" t="s">
        <v>369</v>
      </c>
      <c r="E66" s="24" t="s">
        <v>370</v>
      </c>
      <c r="F66" s="24" t="s">
        <v>371</v>
      </c>
      <c r="G66" s="24" t="s">
        <v>372</v>
      </c>
      <c r="H66" s="24" t="s">
        <v>373</v>
      </c>
      <c r="I66" s="24" t="s">
        <v>290</v>
      </c>
      <c r="J66" s="24" t="s">
        <v>291</v>
      </c>
      <c r="K66" s="24" t="s">
        <v>291</v>
      </c>
      <c r="L66" s="26" t="s">
        <v>374</v>
      </c>
      <c r="M66" s="27" t="s">
        <v>375</v>
      </c>
      <c r="N66" s="28" t="e">
        <f>VLOOKUP(Table1[[#This Row],[ID TOKO]],Data_Aktual,4,FALSE)</f>
        <v>#N/A</v>
      </c>
      <c r="O66" s="29" t="s">
        <v>3001</v>
      </c>
      <c r="R66" s="5"/>
      <c r="S66" s="5"/>
    </row>
    <row r="67" spans="1:20" s="1" customFormat="1" ht="20.25" customHeight="1" x14ac:dyDescent="0.25">
      <c r="A67" s="1">
        <v>1</v>
      </c>
      <c r="B67" s="23">
        <v>61</v>
      </c>
      <c r="C67" s="24" t="s">
        <v>13</v>
      </c>
      <c r="D67" s="24" t="s">
        <v>376</v>
      </c>
      <c r="E67" s="24" t="s">
        <v>377</v>
      </c>
      <c r="F67" s="24" t="s">
        <v>378</v>
      </c>
      <c r="G67" s="24" t="s">
        <v>379</v>
      </c>
      <c r="H67" s="24" t="s">
        <v>289</v>
      </c>
      <c r="I67" s="24" t="s">
        <v>290</v>
      </c>
      <c r="J67" s="24" t="s">
        <v>291</v>
      </c>
      <c r="K67" s="24" t="s">
        <v>291</v>
      </c>
      <c r="L67" s="26" t="s">
        <v>380</v>
      </c>
      <c r="M67" s="25"/>
      <c r="N67" s="28" t="e">
        <f>VLOOKUP(Table1[[#This Row],[ID TOKO]],Data_Aktual,4,FALSE)</f>
        <v>#N/A</v>
      </c>
      <c r="O67" s="29" t="s">
        <v>2999</v>
      </c>
      <c r="R67" s="5"/>
      <c r="S67" s="5"/>
    </row>
    <row r="68" spans="1:20" s="1" customFormat="1" ht="20.25" customHeight="1" x14ac:dyDescent="0.25">
      <c r="A68" s="1">
        <v>1</v>
      </c>
      <c r="B68" s="23">
        <v>62</v>
      </c>
      <c r="C68" s="24" t="s">
        <v>13</v>
      </c>
      <c r="D68" s="24" t="s">
        <v>381</v>
      </c>
      <c r="E68" s="24" t="s">
        <v>382</v>
      </c>
      <c r="F68" s="24" t="s">
        <v>383</v>
      </c>
      <c r="G68" s="24" t="s">
        <v>384</v>
      </c>
      <c r="H68" s="24" t="s">
        <v>289</v>
      </c>
      <c r="I68" s="24" t="s">
        <v>290</v>
      </c>
      <c r="J68" s="24" t="s">
        <v>291</v>
      </c>
      <c r="K68" s="24" t="s">
        <v>291</v>
      </c>
      <c r="L68" s="26" t="s">
        <v>385</v>
      </c>
      <c r="M68" s="25"/>
      <c r="N68" s="28" t="e">
        <f>VLOOKUP(Table1[[#This Row],[ID TOKO]],Data_Aktual,4,FALSE)</f>
        <v>#N/A</v>
      </c>
      <c r="O68" s="29" t="s">
        <v>2997</v>
      </c>
      <c r="R68" s="5"/>
      <c r="S68" s="5"/>
    </row>
    <row r="69" spans="1:20" s="1" customFormat="1" ht="20.25" customHeight="1" x14ac:dyDescent="0.3">
      <c r="A69" s="1">
        <v>1</v>
      </c>
      <c r="B69" s="23">
        <v>63</v>
      </c>
      <c r="C69" s="24" t="s">
        <v>13</v>
      </c>
      <c r="D69" s="24" t="s">
        <v>386</v>
      </c>
      <c r="E69" s="24" t="s">
        <v>387</v>
      </c>
      <c r="F69" s="24" t="s">
        <v>388</v>
      </c>
      <c r="G69" s="25" t="s">
        <v>389</v>
      </c>
      <c r="H69" s="24" t="s">
        <v>289</v>
      </c>
      <c r="I69" s="24" t="s">
        <v>290</v>
      </c>
      <c r="J69" s="24" t="s">
        <v>291</v>
      </c>
      <c r="K69" s="24" t="s">
        <v>291</v>
      </c>
      <c r="L69" s="26" t="s">
        <v>390</v>
      </c>
      <c r="M69" s="27" t="s">
        <v>391</v>
      </c>
      <c r="N69" s="28" t="e">
        <f>VLOOKUP(Table1[[#This Row],[ID TOKO]],Data_Aktual,4,FALSE)</f>
        <v>#N/A</v>
      </c>
      <c r="O69" s="29" t="s">
        <v>2995</v>
      </c>
      <c r="R69" s="5"/>
      <c r="S69" s="5"/>
    </row>
    <row r="70" spans="1:20" s="1" customFormat="1" ht="20.25" customHeight="1" x14ac:dyDescent="0.25">
      <c r="A70" s="1">
        <v>1</v>
      </c>
      <c r="B70" s="23">
        <v>64</v>
      </c>
      <c r="C70" s="24" t="s">
        <v>13</v>
      </c>
      <c r="D70" s="24" t="s">
        <v>392</v>
      </c>
      <c r="E70" s="24" t="s">
        <v>393</v>
      </c>
      <c r="F70" s="25" t="s">
        <v>394</v>
      </c>
      <c r="G70" s="25" t="s">
        <v>395</v>
      </c>
      <c r="H70" s="25" t="s">
        <v>298</v>
      </c>
      <c r="I70" s="24" t="s">
        <v>290</v>
      </c>
      <c r="J70" s="24" t="s">
        <v>291</v>
      </c>
      <c r="K70" s="25" t="s">
        <v>291</v>
      </c>
      <c r="L70" s="26" t="s">
        <v>396</v>
      </c>
      <c r="M70" s="25"/>
      <c r="N70" s="28" t="e">
        <f>VLOOKUP(Table1[[#This Row],[ID TOKO]],Data_Aktual,4,FALSE)</f>
        <v>#N/A</v>
      </c>
      <c r="O70" s="29" t="s">
        <v>2993</v>
      </c>
      <c r="R70" s="5"/>
      <c r="S70" s="5"/>
    </row>
    <row r="71" spans="1:20" s="1" customFormat="1" ht="20.25" customHeight="1" x14ac:dyDescent="0.3">
      <c r="A71" s="1">
        <v>1</v>
      </c>
      <c r="B71" s="23">
        <v>65</v>
      </c>
      <c r="C71" s="24" t="s">
        <v>13</v>
      </c>
      <c r="D71" s="24" t="s">
        <v>397</v>
      </c>
      <c r="E71" s="24" t="s">
        <v>398</v>
      </c>
      <c r="F71" s="24" t="s">
        <v>399</v>
      </c>
      <c r="G71" s="24" t="s">
        <v>400</v>
      </c>
      <c r="H71" s="24" t="s">
        <v>289</v>
      </c>
      <c r="I71" s="24" t="s">
        <v>290</v>
      </c>
      <c r="J71" s="24" t="s">
        <v>291</v>
      </c>
      <c r="K71" s="24" t="s">
        <v>291</v>
      </c>
      <c r="L71" s="26" t="s">
        <v>401</v>
      </c>
      <c r="M71" s="27" t="s">
        <v>402</v>
      </c>
      <c r="N71" s="28" t="e">
        <f>VLOOKUP(Table1[[#This Row],[ID TOKO]],Data_Aktual,4,FALSE)</f>
        <v>#N/A</v>
      </c>
      <c r="O71" s="29" t="s">
        <v>2991</v>
      </c>
      <c r="R71" s="5"/>
      <c r="S71" s="5"/>
    </row>
    <row r="72" spans="1:20" s="1" customFormat="1" ht="20.25" customHeight="1" x14ac:dyDescent="0.3">
      <c r="A72" s="1">
        <v>1</v>
      </c>
      <c r="B72" s="23">
        <v>66</v>
      </c>
      <c r="C72" s="24" t="s">
        <v>13</v>
      </c>
      <c r="D72" s="24" t="s">
        <v>403</v>
      </c>
      <c r="E72" s="24" t="s">
        <v>404</v>
      </c>
      <c r="F72" s="24" t="s">
        <v>405</v>
      </c>
      <c r="G72" s="24" t="s">
        <v>406</v>
      </c>
      <c r="H72" s="24" t="s">
        <v>334</v>
      </c>
      <c r="I72" s="24" t="s">
        <v>290</v>
      </c>
      <c r="J72" s="24" t="s">
        <v>291</v>
      </c>
      <c r="K72" s="24" t="s">
        <v>291</v>
      </c>
      <c r="L72" s="26" t="s">
        <v>407</v>
      </c>
      <c r="M72" s="27" t="s">
        <v>408</v>
      </c>
      <c r="N72" s="28" t="e">
        <f>VLOOKUP(Table1[[#This Row],[ID TOKO]],Data_Aktual,4,FALSE)</f>
        <v>#N/A</v>
      </c>
      <c r="O72" s="29" t="s">
        <v>2989</v>
      </c>
      <c r="R72" s="5"/>
      <c r="S72" s="5"/>
    </row>
    <row r="73" spans="1:20" s="1" customFormat="1" ht="20.25" customHeight="1" x14ac:dyDescent="0.3">
      <c r="A73" s="1">
        <v>1</v>
      </c>
      <c r="B73" s="23">
        <v>67</v>
      </c>
      <c r="C73" s="24" t="s">
        <v>13</v>
      </c>
      <c r="D73" s="24" t="s">
        <v>409</v>
      </c>
      <c r="E73" s="24" t="s">
        <v>410</v>
      </c>
      <c r="F73" s="24" t="s">
        <v>411</v>
      </c>
      <c r="G73" s="25" t="s">
        <v>412</v>
      </c>
      <c r="H73" s="24" t="s">
        <v>346</v>
      </c>
      <c r="I73" s="24" t="s">
        <v>290</v>
      </c>
      <c r="J73" s="24" t="s">
        <v>291</v>
      </c>
      <c r="K73" s="24" t="s">
        <v>291</v>
      </c>
      <c r="L73" s="26" t="s">
        <v>413</v>
      </c>
      <c r="M73" s="27" t="s">
        <v>414</v>
      </c>
      <c r="N73" s="28" t="e">
        <f>VLOOKUP(Table1[[#This Row],[ID TOKO]],Data_Aktual,4,FALSE)</f>
        <v>#N/A</v>
      </c>
      <c r="O73" s="29" t="s">
        <v>2987</v>
      </c>
      <c r="R73" s="5"/>
      <c r="S73" s="5"/>
    </row>
    <row r="74" spans="1:20" s="1" customFormat="1" ht="20.25" customHeight="1" x14ac:dyDescent="0.3">
      <c r="A74" s="1">
        <v>1</v>
      </c>
      <c r="B74" s="23">
        <v>68</v>
      </c>
      <c r="C74" s="24" t="s">
        <v>13</v>
      </c>
      <c r="D74" s="24" t="s">
        <v>415</v>
      </c>
      <c r="E74" s="24" t="s">
        <v>416</v>
      </c>
      <c r="F74" s="24" t="s">
        <v>417</v>
      </c>
      <c r="G74" s="25" t="s">
        <v>418</v>
      </c>
      <c r="H74" s="24" t="s">
        <v>419</v>
      </c>
      <c r="I74" s="24" t="s">
        <v>290</v>
      </c>
      <c r="J74" s="24" t="s">
        <v>291</v>
      </c>
      <c r="K74" s="24" t="s">
        <v>291</v>
      </c>
      <c r="L74" s="26" t="s">
        <v>420</v>
      </c>
      <c r="M74" s="27" t="s">
        <v>421</v>
      </c>
      <c r="N74" s="28" t="e">
        <f>VLOOKUP(Table1[[#This Row],[ID TOKO]],Data_Aktual,4,FALSE)</f>
        <v>#N/A</v>
      </c>
      <c r="O74" s="29" t="s">
        <v>2985</v>
      </c>
      <c r="R74" s="5"/>
      <c r="S74" s="5"/>
    </row>
    <row r="75" spans="1:20" ht="20.25" customHeight="1" x14ac:dyDescent="0.3">
      <c r="A75" s="1">
        <v>1</v>
      </c>
      <c r="B75" s="23">
        <v>69</v>
      </c>
      <c r="C75" s="24" t="s">
        <v>13</v>
      </c>
      <c r="D75" s="24" t="s">
        <v>422</v>
      </c>
      <c r="E75" s="24" t="s">
        <v>423</v>
      </c>
      <c r="F75" s="24" t="s">
        <v>424</v>
      </c>
      <c r="G75" s="25" t="s">
        <v>425</v>
      </c>
      <c r="H75" s="24" t="s">
        <v>289</v>
      </c>
      <c r="I75" s="24" t="s">
        <v>290</v>
      </c>
      <c r="J75" s="24" t="s">
        <v>291</v>
      </c>
      <c r="K75" s="24" t="s">
        <v>291</v>
      </c>
      <c r="L75" s="26" t="s">
        <v>426</v>
      </c>
      <c r="M75" s="27" t="s">
        <v>427</v>
      </c>
      <c r="N75" s="28" t="e">
        <f>VLOOKUP(Table1[[#This Row],[ID TOKO]],Data_Aktual,4,FALSE)</f>
        <v>#N/A</v>
      </c>
      <c r="O75" s="29" t="s">
        <v>2983</v>
      </c>
      <c r="P75" s="1"/>
      <c r="T75" s="1"/>
    </row>
    <row r="76" spans="1:20" ht="20.25" customHeight="1" x14ac:dyDescent="0.3">
      <c r="A76" s="1">
        <v>1</v>
      </c>
      <c r="B76" s="23">
        <v>70</v>
      </c>
      <c r="C76" s="24" t="s">
        <v>13</v>
      </c>
      <c r="D76" s="24" t="s">
        <v>428</v>
      </c>
      <c r="E76" s="24" t="s">
        <v>429</v>
      </c>
      <c r="F76" s="24" t="s">
        <v>430</v>
      </c>
      <c r="G76" s="24" t="s">
        <v>431</v>
      </c>
      <c r="H76" s="24" t="s">
        <v>289</v>
      </c>
      <c r="I76" s="24" t="s">
        <v>290</v>
      </c>
      <c r="J76" s="24" t="s">
        <v>291</v>
      </c>
      <c r="K76" s="24" t="s">
        <v>291</v>
      </c>
      <c r="L76" s="26" t="s">
        <v>432</v>
      </c>
      <c r="M76" s="27" t="s">
        <v>433</v>
      </c>
      <c r="N76" s="28" t="e">
        <f>VLOOKUP(Table1[[#This Row],[ID TOKO]],Data_Aktual,4,FALSE)</f>
        <v>#N/A</v>
      </c>
      <c r="O76" s="29" t="s">
        <v>2981</v>
      </c>
      <c r="P76" s="1"/>
      <c r="T76" s="1"/>
    </row>
    <row r="77" spans="1:20" ht="20.25" customHeight="1" x14ac:dyDescent="0.3">
      <c r="A77" s="1">
        <v>1</v>
      </c>
      <c r="B77" s="23">
        <v>71</v>
      </c>
      <c r="C77" s="24" t="s">
        <v>13</v>
      </c>
      <c r="D77" s="24" t="s">
        <v>434</v>
      </c>
      <c r="E77" s="24" t="s">
        <v>435</v>
      </c>
      <c r="F77" s="24" t="s">
        <v>436</v>
      </c>
      <c r="G77" s="25" t="s">
        <v>437</v>
      </c>
      <c r="H77" s="24" t="s">
        <v>438</v>
      </c>
      <c r="I77" s="24" t="s">
        <v>290</v>
      </c>
      <c r="J77" s="24" t="s">
        <v>291</v>
      </c>
      <c r="K77" s="24" t="s">
        <v>291</v>
      </c>
      <c r="L77" s="26" t="s">
        <v>439</v>
      </c>
      <c r="M77" s="27" t="s">
        <v>440</v>
      </c>
      <c r="N77" s="28" t="e">
        <f>VLOOKUP(Table1[[#This Row],[ID TOKO]],Data_Aktual,4,FALSE)</f>
        <v>#N/A</v>
      </c>
      <c r="O77" s="29" t="s">
        <v>2979</v>
      </c>
      <c r="P77" s="1"/>
      <c r="T77" s="1"/>
    </row>
    <row r="78" spans="1:20" s="1" customFormat="1" ht="20.25" customHeight="1" x14ac:dyDescent="0.3">
      <c r="A78" s="1">
        <v>1</v>
      </c>
      <c r="B78" s="23">
        <v>72</v>
      </c>
      <c r="C78" s="24" t="s">
        <v>13</v>
      </c>
      <c r="D78" s="24" t="s">
        <v>441</v>
      </c>
      <c r="E78" s="24" t="s">
        <v>442</v>
      </c>
      <c r="F78" s="25" t="s">
        <v>436</v>
      </c>
      <c r="G78" s="25" t="s">
        <v>443</v>
      </c>
      <c r="H78" s="25" t="s">
        <v>438</v>
      </c>
      <c r="I78" s="24" t="s">
        <v>290</v>
      </c>
      <c r="J78" s="24" t="s">
        <v>291</v>
      </c>
      <c r="K78" s="25" t="s">
        <v>291</v>
      </c>
      <c r="L78" s="26" t="s">
        <v>439</v>
      </c>
      <c r="M78" s="27" t="s">
        <v>444</v>
      </c>
      <c r="N78" s="28" t="e">
        <f>VLOOKUP(Table1[[#This Row],[ID TOKO]],Data_Aktual,4,FALSE)</f>
        <v>#N/A</v>
      </c>
      <c r="O78" s="29" t="s">
        <v>2977</v>
      </c>
      <c r="R78" s="5"/>
      <c r="S78" s="5"/>
    </row>
    <row r="79" spans="1:20" s="1" customFormat="1" ht="20.25" customHeight="1" x14ac:dyDescent="0.25">
      <c r="A79" s="1">
        <v>1</v>
      </c>
      <c r="B79" s="23">
        <v>73</v>
      </c>
      <c r="C79" s="24" t="s">
        <v>13</v>
      </c>
      <c r="D79" s="24" t="s">
        <v>445</v>
      </c>
      <c r="E79" s="24" t="s">
        <v>446</v>
      </c>
      <c r="F79" s="24" t="s">
        <v>447</v>
      </c>
      <c r="G79" s="25" t="s">
        <v>448</v>
      </c>
      <c r="H79" s="24" t="s">
        <v>289</v>
      </c>
      <c r="I79" s="24" t="s">
        <v>290</v>
      </c>
      <c r="J79" s="24" t="s">
        <v>291</v>
      </c>
      <c r="K79" s="24" t="s">
        <v>291</v>
      </c>
      <c r="L79" s="26" t="s">
        <v>449</v>
      </c>
      <c r="M79" s="36" t="s">
        <v>450</v>
      </c>
      <c r="N79" s="28" t="e">
        <f>VLOOKUP(Table1[[#This Row],[ID TOKO]],Data_Aktual,4,FALSE)</f>
        <v>#N/A</v>
      </c>
      <c r="O79" s="29" t="s">
        <v>2975</v>
      </c>
      <c r="R79" s="5"/>
      <c r="S79" s="5"/>
    </row>
    <row r="80" spans="1:20" s="1" customFormat="1" ht="20.25" customHeight="1" x14ac:dyDescent="0.3">
      <c r="A80" s="1">
        <v>1</v>
      </c>
      <c r="B80" s="23">
        <v>74</v>
      </c>
      <c r="C80" s="24" t="s">
        <v>13</v>
      </c>
      <c r="D80" s="24" t="s">
        <v>451</v>
      </c>
      <c r="E80" s="24" t="s">
        <v>452</v>
      </c>
      <c r="F80" s="24" t="s">
        <v>453</v>
      </c>
      <c r="G80" s="25" t="s">
        <v>454</v>
      </c>
      <c r="H80" s="24" t="s">
        <v>289</v>
      </c>
      <c r="I80" s="24" t="s">
        <v>290</v>
      </c>
      <c r="J80" s="24" t="s">
        <v>291</v>
      </c>
      <c r="K80" s="24" t="s">
        <v>291</v>
      </c>
      <c r="L80" s="26" t="s">
        <v>455</v>
      </c>
      <c r="M80" s="27" t="s">
        <v>456</v>
      </c>
      <c r="N80" s="28" t="e">
        <f>VLOOKUP(Table1[[#This Row],[ID TOKO]],Data_Aktual,4,FALSE)</f>
        <v>#N/A</v>
      </c>
      <c r="O80" s="29" t="s">
        <v>2973</v>
      </c>
      <c r="R80" s="5"/>
      <c r="S80" s="5"/>
    </row>
    <row r="81" spans="1:20" s="1" customFormat="1" ht="20.25" customHeight="1" x14ac:dyDescent="0.3">
      <c r="A81" s="1">
        <v>1</v>
      </c>
      <c r="B81" s="23">
        <v>75</v>
      </c>
      <c r="C81" s="24" t="s">
        <v>13</v>
      </c>
      <c r="D81" s="24" t="s">
        <v>457</v>
      </c>
      <c r="E81" s="24" t="s">
        <v>458</v>
      </c>
      <c r="F81" s="24" t="s">
        <v>459</v>
      </c>
      <c r="G81" s="25" t="s">
        <v>460</v>
      </c>
      <c r="H81" s="24" t="s">
        <v>289</v>
      </c>
      <c r="I81" s="24" t="s">
        <v>290</v>
      </c>
      <c r="J81" s="24" t="s">
        <v>291</v>
      </c>
      <c r="K81" s="24" t="s">
        <v>291</v>
      </c>
      <c r="L81" s="26" t="s">
        <v>461</v>
      </c>
      <c r="M81" s="27" t="s">
        <v>462</v>
      </c>
      <c r="N81" s="28" t="e">
        <f>VLOOKUP(Table1[[#This Row],[ID TOKO]],Data_Aktual,4,FALSE)</f>
        <v>#N/A</v>
      </c>
      <c r="O81" s="29" t="s">
        <v>2972</v>
      </c>
      <c r="R81" s="5"/>
      <c r="S81" s="5"/>
    </row>
    <row r="82" spans="1:20" s="1" customFormat="1" ht="20.25" customHeight="1" x14ac:dyDescent="0.3">
      <c r="A82" s="1">
        <v>1</v>
      </c>
      <c r="B82" s="23">
        <v>76</v>
      </c>
      <c r="C82" s="24" t="s">
        <v>13</v>
      </c>
      <c r="D82" s="24" t="s">
        <v>463</v>
      </c>
      <c r="E82" s="24" t="s">
        <v>464</v>
      </c>
      <c r="F82" s="24" t="s">
        <v>465</v>
      </c>
      <c r="G82" s="25" t="s">
        <v>466</v>
      </c>
      <c r="H82" s="24" t="s">
        <v>289</v>
      </c>
      <c r="I82" s="24" t="s">
        <v>290</v>
      </c>
      <c r="J82" s="24" t="s">
        <v>291</v>
      </c>
      <c r="K82" s="24" t="s">
        <v>291</v>
      </c>
      <c r="L82" s="26" t="s">
        <v>467</v>
      </c>
      <c r="M82" s="27" t="s">
        <v>468</v>
      </c>
      <c r="N82" s="28" t="e">
        <f>VLOOKUP(Table1[[#This Row],[ID TOKO]],Data_Aktual,4,FALSE)</f>
        <v>#N/A</v>
      </c>
      <c r="O82" s="29" t="s">
        <v>2970</v>
      </c>
      <c r="R82" s="5"/>
      <c r="S82" s="5"/>
    </row>
    <row r="83" spans="1:20" s="1" customFormat="1" ht="20.25" customHeight="1" x14ac:dyDescent="0.3">
      <c r="A83" s="1">
        <v>1</v>
      </c>
      <c r="B83" s="23">
        <v>77</v>
      </c>
      <c r="C83" s="24" t="s">
        <v>13</v>
      </c>
      <c r="D83" s="24" t="s">
        <v>469</v>
      </c>
      <c r="E83" s="24" t="s">
        <v>470</v>
      </c>
      <c r="F83" s="24" t="s">
        <v>471</v>
      </c>
      <c r="G83" s="24" t="s">
        <v>472</v>
      </c>
      <c r="H83" s="24" t="s">
        <v>289</v>
      </c>
      <c r="I83" s="24" t="s">
        <v>290</v>
      </c>
      <c r="J83" s="24" t="s">
        <v>291</v>
      </c>
      <c r="K83" s="24" t="s">
        <v>291</v>
      </c>
      <c r="L83" s="26" t="s">
        <v>473</v>
      </c>
      <c r="M83" s="27" t="s">
        <v>474</v>
      </c>
      <c r="N83" s="28" t="e">
        <f>VLOOKUP(Table1[[#This Row],[ID TOKO]],Data_Aktual,4,FALSE)</f>
        <v>#N/A</v>
      </c>
      <c r="O83" s="29" t="s">
        <v>2968</v>
      </c>
      <c r="R83" s="5"/>
      <c r="S83" s="5"/>
    </row>
    <row r="84" spans="1:20" s="1" customFormat="1" ht="20.25" customHeight="1" x14ac:dyDescent="0.3">
      <c r="A84" s="1">
        <v>1</v>
      </c>
      <c r="B84" s="23">
        <v>78</v>
      </c>
      <c r="C84" s="24" t="s">
        <v>13</v>
      </c>
      <c r="D84" s="24" t="s">
        <v>475</v>
      </c>
      <c r="E84" s="24" t="s">
        <v>476</v>
      </c>
      <c r="F84" s="24" t="s">
        <v>471</v>
      </c>
      <c r="G84" s="25" t="s">
        <v>477</v>
      </c>
      <c r="H84" s="24" t="s">
        <v>478</v>
      </c>
      <c r="I84" s="24" t="s">
        <v>290</v>
      </c>
      <c r="J84" s="24" t="s">
        <v>291</v>
      </c>
      <c r="K84" s="24" t="s">
        <v>291</v>
      </c>
      <c r="L84" s="26" t="s">
        <v>479</v>
      </c>
      <c r="M84" s="27" t="s">
        <v>480</v>
      </c>
      <c r="N84" s="28" t="e">
        <f>VLOOKUP(Table1[[#This Row],[ID TOKO]],Data_Aktual,4,FALSE)</f>
        <v>#N/A</v>
      </c>
      <c r="O84" s="29" t="s">
        <v>2966</v>
      </c>
      <c r="R84" s="5"/>
      <c r="S84" s="5"/>
    </row>
    <row r="85" spans="1:20" s="1" customFormat="1" ht="20.25" customHeight="1" x14ac:dyDescent="0.3">
      <c r="A85" s="1">
        <v>1</v>
      </c>
      <c r="B85" s="23">
        <v>79</v>
      </c>
      <c r="C85" s="24" t="s">
        <v>13</v>
      </c>
      <c r="D85" s="24" t="s">
        <v>481</v>
      </c>
      <c r="E85" s="24" t="s">
        <v>482</v>
      </c>
      <c r="F85" s="24" t="s">
        <v>483</v>
      </c>
      <c r="G85" s="25" t="s">
        <v>484</v>
      </c>
      <c r="H85" s="24" t="s">
        <v>352</v>
      </c>
      <c r="I85" s="24" t="s">
        <v>290</v>
      </c>
      <c r="J85" s="24" t="s">
        <v>291</v>
      </c>
      <c r="K85" s="24" t="s">
        <v>291</v>
      </c>
      <c r="L85" s="26" t="s">
        <v>353</v>
      </c>
      <c r="M85" s="27" t="s">
        <v>485</v>
      </c>
      <c r="N85" s="28" t="e">
        <f>VLOOKUP(Table1[[#This Row],[ID TOKO]],Data_Aktual,4,FALSE)</f>
        <v>#N/A</v>
      </c>
      <c r="O85" s="29" t="s">
        <v>2964</v>
      </c>
      <c r="R85" s="5"/>
      <c r="S85" s="5"/>
    </row>
    <row r="86" spans="1:20" s="1" customFormat="1" ht="20.25" customHeight="1" x14ac:dyDescent="0.25">
      <c r="A86" s="1">
        <v>1</v>
      </c>
      <c r="B86" s="23">
        <v>80</v>
      </c>
      <c r="C86" s="24" t="s">
        <v>13</v>
      </c>
      <c r="D86" s="24" t="s">
        <v>486</v>
      </c>
      <c r="E86" s="24" t="s">
        <v>487</v>
      </c>
      <c r="F86" s="24" t="s">
        <v>488</v>
      </c>
      <c r="G86" s="25" t="s">
        <v>489</v>
      </c>
      <c r="H86" s="24" t="s">
        <v>289</v>
      </c>
      <c r="I86" s="24" t="s">
        <v>290</v>
      </c>
      <c r="J86" s="24" t="s">
        <v>291</v>
      </c>
      <c r="K86" s="24" t="s">
        <v>291</v>
      </c>
      <c r="L86" s="26" t="s">
        <v>490</v>
      </c>
      <c r="M86" s="36" t="s">
        <v>491</v>
      </c>
      <c r="N86" s="28" t="e">
        <f>VLOOKUP(Table1[[#This Row],[ID TOKO]],Data_Aktual,4,FALSE)</f>
        <v>#N/A</v>
      </c>
      <c r="O86" s="29" t="s">
        <v>2962</v>
      </c>
      <c r="R86" s="5"/>
      <c r="S86" s="5"/>
    </row>
    <row r="87" spans="1:20" s="1" customFormat="1" ht="20.25" customHeight="1" x14ac:dyDescent="0.25">
      <c r="A87" s="1">
        <v>1</v>
      </c>
      <c r="B87" s="23">
        <v>81</v>
      </c>
      <c r="C87" s="24" t="s">
        <v>13</v>
      </c>
      <c r="D87" s="24" t="s">
        <v>492</v>
      </c>
      <c r="E87" s="24" t="s">
        <v>493</v>
      </c>
      <c r="F87" s="24" t="s">
        <v>494</v>
      </c>
      <c r="G87" s="25" t="s">
        <v>495</v>
      </c>
      <c r="H87" s="24" t="s">
        <v>373</v>
      </c>
      <c r="I87" s="24" t="s">
        <v>290</v>
      </c>
      <c r="J87" s="24" t="s">
        <v>291</v>
      </c>
      <c r="K87" s="24" t="s">
        <v>291</v>
      </c>
      <c r="L87" s="26" t="s">
        <v>496</v>
      </c>
      <c r="M87" s="25"/>
      <c r="N87" s="28" t="e">
        <f>VLOOKUP(Table1[[#This Row],[ID TOKO]],Data_Aktual,4,FALSE)</f>
        <v>#N/A</v>
      </c>
      <c r="O87" s="29" t="s">
        <v>2960</v>
      </c>
      <c r="R87" s="5"/>
      <c r="S87" s="5"/>
    </row>
    <row r="88" spans="1:20" s="1" customFormat="1" ht="20.25" customHeight="1" x14ac:dyDescent="0.3">
      <c r="A88" s="1">
        <v>1</v>
      </c>
      <c r="B88" s="23">
        <v>82</v>
      </c>
      <c r="C88" s="24" t="s">
        <v>13</v>
      </c>
      <c r="D88" s="24" t="s">
        <v>497</v>
      </c>
      <c r="E88" s="24" t="s">
        <v>498</v>
      </c>
      <c r="F88" s="24" t="s">
        <v>499</v>
      </c>
      <c r="G88" s="25" t="s">
        <v>500</v>
      </c>
      <c r="H88" s="24" t="s">
        <v>501</v>
      </c>
      <c r="I88" s="24" t="s">
        <v>290</v>
      </c>
      <c r="J88" s="24" t="s">
        <v>291</v>
      </c>
      <c r="K88" s="24" t="s">
        <v>291</v>
      </c>
      <c r="L88" s="26" t="s">
        <v>502</v>
      </c>
      <c r="M88" s="27" t="s">
        <v>503</v>
      </c>
      <c r="N88" s="28" t="e">
        <f>VLOOKUP(Table1[[#This Row],[ID TOKO]],Data_Aktual,4,FALSE)</f>
        <v>#N/A</v>
      </c>
      <c r="O88" s="29" t="s">
        <v>2427</v>
      </c>
      <c r="R88" s="5"/>
      <c r="S88" s="5"/>
    </row>
    <row r="89" spans="1:20" s="1" customFormat="1" ht="20.25" customHeight="1" x14ac:dyDescent="0.25">
      <c r="A89" s="1">
        <v>1</v>
      </c>
      <c r="B89" s="23">
        <v>83</v>
      </c>
      <c r="C89" s="24" t="s">
        <v>13</v>
      </c>
      <c r="D89" s="24" t="s">
        <v>504</v>
      </c>
      <c r="E89" s="24" t="s">
        <v>505</v>
      </c>
      <c r="F89" s="24" t="s">
        <v>506</v>
      </c>
      <c r="G89" s="25" t="s">
        <v>507</v>
      </c>
      <c r="H89" s="24" t="s">
        <v>508</v>
      </c>
      <c r="I89" s="24" t="s">
        <v>290</v>
      </c>
      <c r="J89" s="24" t="s">
        <v>291</v>
      </c>
      <c r="K89" s="24" t="s">
        <v>291</v>
      </c>
      <c r="L89" s="26" t="s">
        <v>509</v>
      </c>
      <c r="M89" s="36"/>
      <c r="N89" s="28" t="e">
        <f>VLOOKUP(Table1[[#This Row],[ID TOKO]],Data_Aktual,4,FALSE)</f>
        <v>#N/A</v>
      </c>
      <c r="O89" s="29" t="s">
        <v>2414</v>
      </c>
      <c r="R89" s="5"/>
      <c r="S89" s="5"/>
    </row>
    <row r="90" spans="1:20" s="4" customFormat="1" ht="20.25" customHeight="1" x14ac:dyDescent="0.3">
      <c r="A90" s="1">
        <v>1</v>
      </c>
      <c r="B90" s="23">
        <v>84</v>
      </c>
      <c r="C90" s="24" t="s">
        <v>13</v>
      </c>
      <c r="D90" s="24" t="s">
        <v>510</v>
      </c>
      <c r="E90" s="24" t="s">
        <v>511</v>
      </c>
      <c r="F90" s="25" t="s">
        <v>512</v>
      </c>
      <c r="G90" s="25" t="s">
        <v>513</v>
      </c>
      <c r="H90" s="24" t="s">
        <v>514</v>
      </c>
      <c r="I90" s="24" t="s">
        <v>515</v>
      </c>
      <c r="J90" s="24" t="s">
        <v>516</v>
      </c>
      <c r="K90" s="25" t="s">
        <v>517</v>
      </c>
      <c r="L90" s="25" t="s">
        <v>519</v>
      </c>
      <c r="M90" s="27" t="s">
        <v>520</v>
      </c>
      <c r="N90" s="28" t="e">
        <f>VLOOKUP(Table1[[#This Row],[ID TOKO]],Data_Aktual,4,FALSE)</f>
        <v>#N/A</v>
      </c>
      <c r="O90" s="29" t="s">
        <v>2958</v>
      </c>
      <c r="P90" s="1"/>
      <c r="R90" s="5"/>
      <c r="S90" s="5"/>
      <c r="T90" s="1"/>
    </row>
    <row r="91" spans="1:20" s="1" customFormat="1" ht="20.25" customHeight="1" x14ac:dyDescent="0.3">
      <c r="A91" s="1">
        <v>1</v>
      </c>
      <c r="B91" s="23">
        <v>85</v>
      </c>
      <c r="C91" s="24" t="s">
        <v>13</v>
      </c>
      <c r="D91" s="24" t="s">
        <v>521</v>
      </c>
      <c r="E91" s="24" t="s">
        <v>522</v>
      </c>
      <c r="F91" s="24" t="s">
        <v>523</v>
      </c>
      <c r="G91" s="25" t="s">
        <v>524</v>
      </c>
      <c r="H91" s="24" t="s">
        <v>525</v>
      </c>
      <c r="I91" s="24" t="s">
        <v>515</v>
      </c>
      <c r="J91" s="24" t="s">
        <v>291</v>
      </c>
      <c r="K91" s="24" t="s">
        <v>517</v>
      </c>
      <c r="L91" s="26" t="s">
        <v>526</v>
      </c>
      <c r="M91" s="27" t="s">
        <v>520</v>
      </c>
      <c r="N91" s="28" t="e">
        <f>VLOOKUP(Table1[[#This Row],[ID TOKO]],Data_Aktual,4,FALSE)</f>
        <v>#N/A</v>
      </c>
      <c r="O91" s="29" t="s">
        <v>2956</v>
      </c>
      <c r="R91" s="5"/>
      <c r="S91" s="5"/>
    </row>
    <row r="92" spans="1:20" s="1" customFormat="1" ht="20.25" customHeight="1" x14ac:dyDescent="0.3">
      <c r="A92" s="1">
        <v>1</v>
      </c>
      <c r="B92" s="23">
        <v>86</v>
      </c>
      <c r="C92" s="24" t="s">
        <v>13</v>
      </c>
      <c r="D92" s="24" t="s">
        <v>527</v>
      </c>
      <c r="E92" s="24" t="s">
        <v>528</v>
      </c>
      <c r="F92" s="24" t="s">
        <v>529</v>
      </c>
      <c r="G92" s="37" t="s">
        <v>530</v>
      </c>
      <c r="H92" s="24" t="s">
        <v>531</v>
      </c>
      <c r="I92" s="24" t="s">
        <v>515</v>
      </c>
      <c r="J92" s="24" t="s">
        <v>516</v>
      </c>
      <c r="K92" s="24" t="s">
        <v>517</v>
      </c>
      <c r="L92" s="26" t="s">
        <v>532</v>
      </c>
      <c r="M92" s="27" t="s">
        <v>520</v>
      </c>
      <c r="N92" s="28" t="e">
        <f>VLOOKUP(Table1[[#This Row],[ID TOKO]],Data_Aktual,4,FALSE)</f>
        <v>#N/A</v>
      </c>
      <c r="O92" s="29" t="s">
        <v>2954</v>
      </c>
      <c r="R92" s="5"/>
      <c r="S92" s="5"/>
    </row>
    <row r="93" spans="1:20" s="1" customFormat="1" ht="20.25" customHeight="1" x14ac:dyDescent="0.3">
      <c r="A93" s="1">
        <v>1</v>
      </c>
      <c r="B93" s="23">
        <v>87</v>
      </c>
      <c r="C93" s="24" t="s">
        <v>13</v>
      </c>
      <c r="D93" s="24" t="s">
        <v>533</v>
      </c>
      <c r="E93" s="24" t="s">
        <v>534</v>
      </c>
      <c r="F93" s="24" t="s">
        <v>535</v>
      </c>
      <c r="G93" s="25" t="s">
        <v>536</v>
      </c>
      <c r="H93" s="24" t="s">
        <v>531</v>
      </c>
      <c r="I93" s="24" t="s">
        <v>515</v>
      </c>
      <c r="J93" s="24" t="s">
        <v>516</v>
      </c>
      <c r="K93" s="24" t="s">
        <v>517</v>
      </c>
      <c r="L93" s="26" t="s">
        <v>537</v>
      </c>
      <c r="M93" s="27" t="s">
        <v>520</v>
      </c>
      <c r="N93" s="28" t="e">
        <f>VLOOKUP(Table1[[#This Row],[ID TOKO]],Data_Aktual,4,FALSE)</f>
        <v>#N/A</v>
      </c>
      <c r="O93" s="29" t="s">
        <v>2952</v>
      </c>
      <c r="R93" s="5"/>
      <c r="S93" s="5"/>
    </row>
    <row r="94" spans="1:20" s="1" customFormat="1" ht="20.25" customHeight="1" x14ac:dyDescent="0.3">
      <c r="A94" s="1">
        <v>1</v>
      </c>
      <c r="B94" s="23">
        <v>88</v>
      </c>
      <c r="C94" s="24" t="s">
        <v>13</v>
      </c>
      <c r="D94" s="24" t="s">
        <v>538</v>
      </c>
      <c r="E94" s="24" t="s">
        <v>539</v>
      </c>
      <c r="F94" s="25" t="s">
        <v>540</v>
      </c>
      <c r="G94" s="25" t="s">
        <v>541</v>
      </c>
      <c r="H94" s="25" t="s">
        <v>542</v>
      </c>
      <c r="I94" s="24" t="s">
        <v>515</v>
      </c>
      <c r="J94" s="24" t="s">
        <v>516</v>
      </c>
      <c r="K94" s="24" t="s">
        <v>517</v>
      </c>
      <c r="L94" s="26" t="s">
        <v>543</v>
      </c>
      <c r="M94" s="27" t="s">
        <v>544</v>
      </c>
      <c r="N94" s="28" t="e">
        <f>VLOOKUP(Table1[[#This Row],[ID TOKO]],Data_Aktual,4,FALSE)</f>
        <v>#N/A</v>
      </c>
      <c r="O94" s="29" t="s">
        <v>2950</v>
      </c>
      <c r="R94" s="5"/>
      <c r="S94" s="5"/>
    </row>
    <row r="95" spans="1:20" s="1" customFormat="1" ht="20.25" customHeight="1" x14ac:dyDescent="0.3">
      <c r="A95" s="1">
        <v>1</v>
      </c>
      <c r="B95" s="23">
        <v>89</v>
      </c>
      <c r="C95" s="24" t="s">
        <v>13</v>
      </c>
      <c r="D95" s="24" t="s">
        <v>545</v>
      </c>
      <c r="E95" s="24" t="s">
        <v>546</v>
      </c>
      <c r="F95" s="24" t="s">
        <v>547</v>
      </c>
      <c r="G95" s="37" t="s">
        <v>548</v>
      </c>
      <c r="H95" s="24" t="s">
        <v>542</v>
      </c>
      <c r="I95" s="24" t="s">
        <v>515</v>
      </c>
      <c r="J95" s="24" t="s">
        <v>516</v>
      </c>
      <c r="K95" s="24" t="s">
        <v>517</v>
      </c>
      <c r="L95" s="26" t="s">
        <v>549</v>
      </c>
      <c r="M95" s="27" t="s">
        <v>550</v>
      </c>
      <c r="N95" s="28" t="e">
        <f>VLOOKUP(Table1[[#This Row],[ID TOKO]],Data_Aktual,4,FALSE)</f>
        <v>#N/A</v>
      </c>
      <c r="O95" s="29" t="s">
        <v>2948</v>
      </c>
      <c r="R95" s="5"/>
      <c r="S95" s="5"/>
    </row>
    <row r="96" spans="1:20" s="1" customFormat="1" ht="20.25" customHeight="1" x14ac:dyDescent="0.25">
      <c r="A96" s="1">
        <v>1</v>
      </c>
      <c r="B96" s="23">
        <v>90</v>
      </c>
      <c r="C96" s="24" t="s">
        <v>13</v>
      </c>
      <c r="D96" s="24" t="s">
        <v>551</v>
      </c>
      <c r="E96" s="24" t="s">
        <v>552</v>
      </c>
      <c r="F96" s="24" t="s">
        <v>553</v>
      </c>
      <c r="G96" s="37" t="s">
        <v>554</v>
      </c>
      <c r="H96" s="24" t="s">
        <v>542</v>
      </c>
      <c r="I96" s="24" t="s">
        <v>515</v>
      </c>
      <c r="J96" s="24" t="s">
        <v>516</v>
      </c>
      <c r="K96" s="24" t="s">
        <v>517</v>
      </c>
      <c r="L96" s="26" t="s">
        <v>543</v>
      </c>
      <c r="M96" s="25"/>
      <c r="N96" s="28" t="e">
        <f>VLOOKUP(Table1[[#This Row],[ID TOKO]],Data_Aktual,4,FALSE)</f>
        <v>#N/A</v>
      </c>
      <c r="O96" s="29" t="s">
        <v>2946</v>
      </c>
      <c r="R96" s="5"/>
      <c r="S96" s="5"/>
    </row>
    <row r="97" spans="1:19" s="1" customFormat="1" ht="20.25" customHeight="1" x14ac:dyDescent="0.25">
      <c r="A97" s="1">
        <v>1</v>
      </c>
      <c r="B97" s="23">
        <v>91</v>
      </c>
      <c r="C97" s="24" t="s">
        <v>13</v>
      </c>
      <c r="D97" s="24" t="s">
        <v>555</v>
      </c>
      <c r="E97" s="24" t="s">
        <v>556</v>
      </c>
      <c r="F97" s="24" t="s">
        <v>557</v>
      </c>
      <c r="G97" s="25" t="s">
        <v>558</v>
      </c>
      <c r="H97" s="24" t="s">
        <v>542</v>
      </c>
      <c r="I97" s="24" t="s">
        <v>515</v>
      </c>
      <c r="J97" s="24" t="s">
        <v>516</v>
      </c>
      <c r="K97" s="24" t="s">
        <v>517</v>
      </c>
      <c r="L97" s="26" t="s">
        <v>543</v>
      </c>
      <c r="M97" s="25"/>
      <c r="N97" s="28" t="e">
        <f>VLOOKUP(Table1[[#This Row],[ID TOKO]],Data_Aktual,4,FALSE)</f>
        <v>#N/A</v>
      </c>
      <c r="O97" s="29" t="s">
        <v>2944</v>
      </c>
      <c r="R97" s="5"/>
      <c r="S97" s="5"/>
    </row>
    <row r="98" spans="1:19" s="1" customFormat="1" ht="20.25" customHeight="1" x14ac:dyDescent="0.3">
      <c r="A98" s="1">
        <v>1</v>
      </c>
      <c r="B98" s="23">
        <v>92</v>
      </c>
      <c r="C98" s="24" t="s">
        <v>13</v>
      </c>
      <c r="D98" s="24" t="s">
        <v>559</v>
      </c>
      <c r="E98" s="24" t="s">
        <v>560</v>
      </c>
      <c r="F98" s="24" t="s">
        <v>561</v>
      </c>
      <c r="G98" s="37" t="s">
        <v>562</v>
      </c>
      <c r="H98" s="24" t="s">
        <v>531</v>
      </c>
      <c r="I98" s="24" t="s">
        <v>515</v>
      </c>
      <c r="J98" s="24" t="s">
        <v>516</v>
      </c>
      <c r="K98" s="24" t="s">
        <v>517</v>
      </c>
      <c r="L98" s="26" t="s">
        <v>563</v>
      </c>
      <c r="M98" s="27" t="s">
        <v>564</v>
      </c>
      <c r="N98" s="28" t="e">
        <f>VLOOKUP(Table1[[#This Row],[ID TOKO]],Data_Aktual,4,FALSE)</f>
        <v>#N/A</v>
      </c>
      <c r="O98" s="29" t="s">
        <v>2942</v>
      </c>
      <c r="R98" s="5"/>
      <c r="S98" s="5"/>
    </row>
    <row r="99" spans="1:19" s="1" customFormat="1" ht="20.25" customHeight="1" x14ac:dyDescent="0.3">
      <c r="A99" s="1">
        <v>1</v>
      </c>
      <c r="B99" s="23">
        <v>93</v>
      </c>
      <c r="C99" s="24" t="s">
        <v>13</v>
      </c>
      <c r="D99" s="24" t="s">
        <v>565</v>
      </c>
      <c r="E99" s="24" t="s">
        <v>566</v>
      </c>
      <c r="F99" s="24" t="s">
        <v>567</v>
      </c>
      <c r="G99" s="25" t="s">
        <v>568</v>
      </c>
      <c r="H99" s="24" t="s">
        <v>531</v>
      </c>
      <c r="I99" s="24" t="s">
        <v>515</v>
      </c>
      <c r="J99" s="24" t="s">
        <v>516</v>
      </c>
      <c r="K99" s="24" t="s">
        <v>517</v>
      </c>
      <c r="L99" s="26" t="s">
        <v>569</v>
      </c>
      <c r="M99" s="27" t="s">
        <v>570</v>
      </c>
      <c r="N99" s="28" t="e">
        <f>VLOOKUP(Table1[[#This Row],[ID TOKO]],Data_Aktual,4,FALSE)</f>
        <v>#N/A</v>
      </c>
      <c r="O99" s="29" t="s">
        <v>2940</v>
      </c>
      <c r="R99" s="5"/>
      <c r="S99" s="5"/>
    </row>
    <row r="100" spans="1:19" s="1" customFormat="1" ht="20.25" customHeight="1" x14ac:dyDescent="0.3">
      <c r="A100" s="1">
        <v>1</v>
      </c>
      <c r="B100" s="23">
        <v>94</v>
      </c>
      <c r="C100" s="24" t="s">
        <v>13</v>
      </c>
      <c r="D100" s="24" t="s">
        <v>571</v>
      </c>
      <c r="E100" s="24" t="s">
        <v>572</v>
      </c>
      <c r="F100" s="24" t="s">
        <v>573</v>
      </c>
      <c r="G100" s="37" t="s">
        <v>574</v>
      </c>
      <c r="H100" s="24" t="s">
        <v>514</v>
      </c>
      <c r="I100" s="24" t="s">
        <v>515</v>
      </c>
      <c r="J100" s="24" t="s">
        <v>516</v>
      </c>
      <c r="K100" s="24" t="s">
        <v>517</v>
      </c>
      <c r="L100" s="26" t="s">
        <v>576</v>
      </c>
      <c r="M100" s="27" t="s">
        <v>577</v>
      </c>
      <c r="N100" s="28" t="e">
        <f>VLOOKUP(Table1[[#This Row],[ID TOKO]],Data_Aktual,4,FALSE)</f>
        <v>#N/A</v>
      </c>
      <c r="O100" s="29" t="s">
        <v>2938</v>
      </c>
      <c r="R100" s="5"/>
      <c r="S100" s="5"/>
    </row>
    <row r="101" spans="1:19" s="1" customFormat="1" ht="20.25" customHeight="1" x14ac:dyDescent="0.25">
      <c r="A101" s="1">
        <v>1</v>
      </c>
      <c r="B101" s="23">
        <v>95</v>
      </c>
      <c r="C101" s="24" t="s">
        <v>13</v>
      </c>
      <c r="D101" s="24" t="s">
        <v>578</v>
      </c>
      <c r="E101" s="24" t="s">
        <v>579</v>
      </c>
      <c r="F101" s="24" t="s">
        <v>580</v>
      </c>
      <c r="G101" s="37" t="s">
        <v>581</v>
      </c>
      <c r="H101" s="24" t="s">
        <v>582</v>
      </c>
      <c r="I101" s="24" t="s">
        <v>515</v>
      </c>
      <c r="J101" s="24" t="s">
        <v>291</v>
      </c>
      <c r="K101" s="24" t="s">
        <v>517</v>
      </c>
      <c r="L101" s="26" t="s">
        <v>583</v>
      </c>
      <c r="M101" s="25"/>
      <c r="N101" s="28" t="e">
        <f>VLOOKUP(Table1[[#This Row],[ID TOKO]],Data_Aktual,4,FALSE)</f>
        <v>#N/A</v>
      </c>
      <c r="O101" s="29" t="s">
        <v>2936</v>
      </c>
      <c r="R101" s="5"/>
      <c r="S101" s="5"/>
    </row>
    <row r="102" spans="1:19" s="1" customFormat="1" ht="20.25" customHeight="1" x14ac:dyDescent="0.3">
      <c r="A102" s="1">
        <v>1</v>
      </c>
      <c r="B102" s="23">
        <v>96</v>
      </c>
      <c r="C102" s="24" t="s">
        <v>13</v>
      </c>
      <c r="D102" s="24" t="s">
        <v>584</v>
      </c>
      <c r="E102" s="24" t="s">
        <v>585</v>
      </c>
      <c r="F102" s="24" t="s">
        <v>586</v>
      </c>
      <c r="G102" s="25" t="s">
        <v>587</v>
      </c>
      <c r="H102" s="24" t="s">
        <v>588</v>
      </c>
      <c r="I102" s="24" t="s">
        <v>515</v>
      </c>
      <c r="J102" s="24" t="s">
        <v>291</v>
      </c>
      <c r="K102" s="24" t="s">
        <v>517</v>
      </c>
      <c r="L102" s="26" t="s">
        <v>589</v>
      </c>
      <c r="M102" s="27" t="s">
        <v>590</v>
      </c>
      <c r="N102" s="28" t="e">
        <f>VLOOKUP(Table1[[#This Row],[ID TOKO]],Data_Aktual,4,FALSE)</f>
        <v>#N/A</v>
      </c>
      <c r="O102" s="29" t="s">
        <v>2934</v>
      </c>
      <c r="R102" s="5"/>
      <c r="S102" s="5"/>
    </row>
    <row r="103" spans="1:19" s="1" customFormat="1" ht="20.25" customHeight="1" x14ac:dyDescent="0.3">
      <c r="A103" s="1">
        <v>1</v>
      </c>
      <c r="B103" s="23">
        <v>97</v>
      </c>
      <c r="C103" s="24" t="s">
        <v>13</v>
      </c>
      <c r="D103" s="24" t="s">
        <v>591</v>
      </c>
      <c r="E103" s="24" t="s">
        <v>592</v>
      </c>
      <c r="F103" s="24" t="s">
        <v>586</v>
      </c>
      <c r="G103" s="37" t="s">
        <v>593</v>
      </c>
      <c r="H103" s="24" t="s">
        <v>582</v>
      </c>
      <c r="I103" s="24" t="s">
        <v>515</v>
      </c>
      <c r="J103" s="24" t="s">
        <v>291</v>
      </c>
      <c r="K103" s="24" t="s">
        <v>517</v>
      </c>
      <c r="L103" s="26" t="s">
        <v>594</v>
      </c>
      <c r="M103" s="27" t="s">
        <v>595</v>
      </c>
      <c r="N103" s="28" t="e">
        <f>VLOOKUP(Table1[[#This Row],[ID TOKO]],Data_Aktual,4,FALSE)</f>
        <v>#N/A</v>
      </c>
      <c r="O103" s="29" t="s">
        <v>2932</v>
      </c>
      <c r="R103" s="5"/>
      <c r="S103" s="5"/>
    </row>
    <row r="104" spans="1:19" s="1" customFormat="1" ht="20.25" customHeight="1" x14ac:dyDescent="0.3">
      <c r="A104" s="1">
        <v>1</v>
      </c>
      <c r="B104" s="23">
        <v>98</v>
      </c>
      <c r="C104" s="24" t="s">
        <v>13</v>
      </c>
      <c r="D104" s="24" t="s">
        <v>596</v>
      </c>
      <c r="E104" s="24" t="s">
        <v>597</v>
      </c>
      <c r="F104" s="24" t="s">
        <v>598</v>
      </c>
      <c r="G104" s="25" t="s">
        <v>599</v>
      </c>
      <c r="H104" s="24" t="s">
        <v>542</v>
      </c>
      <c r="I104" s="24" t="s">
        <v>515</v>
      </c>
      <c r="J104" s="24" t="s">
        <v>516</v>
      </c>
      <c r="K104" s="24" t="s">
        <v>517</v>
      </c>
      <c r="L104" s="26" t="s">
        <v>600</v>
      </c>
      <c r="M104" s="27" t="s">
        <v>601</v>
      </c>
      <c r="N104" s="28" t="e">
        <f>VLOOKUP(Table1[[#This Row],[ID TOKO]],Data_Aktual,4,FALSE)</f>
        <v>#N/A</v>
      </c>
      <c r="O104" s="29" t="s">
        <v>2930</v>
      </c>
      <c r="R104" s="5"/>
      <c r="S104" s="5"/>
    </row>
    <row r="105" spans="1:19" s="1" customFormat="1" ht="20.25" customHeight="1" x14ac:dyDescent="0.3">
      <c r="A105" s="1">
        <v>1</v>
      </c>
      <c r="B105" s="23">
        <v>99</v>
      </c>
      <c r="C105" s="24" t="s">
        <v>13</v>
      </c>
      <c r="D105" s="24" t="s">
        <v>602</v>
      </c>
      <c r="E105" s="24" t="s">
        <v>603</v>
      </c>
      <c r="F105" s="24" t="s">
        <v>604</v>
      </c>
      <c r="G105" s="37" t="s">
        <v>605</v>
      </c>
      <c r="H105" s="24" t="s">
        <v>582</v>
      </c>
      <c r="I105" s="24" t="s">
        <v>515</v>
      </c>
      <c r="J105" s="24" t="s">
        <v>291</v>
      </c>
      <c r="K105" s="24" t="s">
        <v>517</v>
      </c>
      <c r="L105" s="26" t="s">
        <v>606</v>
      </c>
      <c r="M105" s="27" t="s">
        <v>607</v>
      </c>
      <c r="N105" s="28" t="e">
        <f>VLOOKUP(Table1[[#This Row],[ID TOKO]],Data_Aktual,4,FALSE)</f>
        <v>#N/A</v>
      </c>
      <c r="O105" s="29" t="s">
        <v>2928</v>
      </c>
      <c r="R105" s="5"/>
      <c r="S105" s="5"/>
    </row>
    <row r="106" spans="1:19" s="1" customFormat="1" ht="20.25" customHeight="1" x14ac:dyDescent="0.3">
      <c r="A106" s="1">
        <v>1</v>
      </c>
      <c r="B106" s="23">
        <v>100</v>
      </c>
      <c r="C106" s="24" t="s">
        <v>13</v>
      </c>
      <c r="D106" s="24" t="s">
        <v>608</v>
      </c>
      <c r="E106" s="24" t="s">
        <v>609</v>
      </c>
      <c r="F106" s="24" t="s">
        <v>604</v>
      </c>
      <c r="G106" s="37" t="s">
        <v>610</v>
      </c>
      <c r="H106" s="24" t="s">
        <v>611</v>
      </c>
      <c r="I106" s="24" t="s">
        <v>515</v>
      </c>
      <c r="J106" s="24" t="s">
        <v>612</v>
      </c>
      <c r="K106" s="24" t="s">
        <v>517</v>
      </c>
      <c r="L106" s="26" t="s">
        <v>613</v>
      </c>
      <c r="M106" s="27" t="s">
        <v>614</v>
      </c>
      <c r="N106" s="28" t="e">
        <f>VLOOKUP(Table1[[#This Row],[ID TOKO]],Data_Aktual,4,FALSE)</f>
        <v>#N/A</v>
      </c>
      <c r="O106" s="29" t="s">
        <v>2926</v>
      </c>
      <c r="R106" s="5"/>
      <c r="S106" s="5"/>
    </row>
    <row r="107" spans="1:19" s="1" customFormat="1" ht="20.25" customHeight="1" x14ac:dyDescent="0.3">
      <c r="A107" s="1">
        <v>1</v>
      </c>
      <c r="B107" s="23">
        <v>101</v>
      </c>
      <c r="C107" s="24" t="s">
        <v>13</v>
      </c>
      <c r="D107" s="24" t="s">
        <v>615</v>
      </c>
      <c r="E107" s="24" t="s">
        <v>616</v>
      </c>
      <c r="F107" s="24" t="s">
        <v>617</v>
      </c>
      <c r="G107" s="25" t="s">
        <v>618</v>
      </c>
      <c r="H107" s="24" t="s">
        <v>611</v>
      </c>
      <c r="I107" s="24" t="s">
        <v>515</v>
      </c>
      <c r="J107" s="24" t="s">
        <v>612</v>
      </c>
      <c r="K107" s="24" t="s">
        <v>517</v>
      </c>
      <c r="L107" s="26" t="s">
        <v>619</v>
      </c>
      <c r="M107" s="27" t="s">
        <v>620</v>
      </c>
      <c r="N107" s="28" t="e">
        <f>VLOOKUP(Table1[[#This Row],[ID TOKO]],Data_Aktual,4,FALSE)</f>
        <v>#N/A</v>
      </c>
      <c r="O107" s="29" t="s">
        <v>2924</v>
      </c>
      <c r="R107" s="5"/>
      <c r="S107" s="5"/>
    </row>
    <row r="108" spans="1:19" s="1" customFormat="1" ht="20.25" customHeight="1" x14ac:dyDescent="0.3">
      <c r="A108" s="1">
        <v>1</v>
      </c>
      <c r="B108" s="23">
        <v>102</v>
      </c>
      <c r="C108" s="24" t="s">
        <v>13</v>
      </c>
      <c r="D108" s="24" t="s">
        <v>621</v>
      </c>
      <c r="E108" s="24" t="s">
        <v>622</v>
      </c>
      <c r="F108" s="24" t="s">
        <v>623</v>
      </c>
      <c r="G108" s="37" t="s">
        <v>624</v>
      </c>
      <c r="H108" s="24" t="s">
        <v>542</v>
      </c>
      <c r="I108" s="24" t="s">
        <v>515</v>
      </c>
      <c r="J108" s="24" t="s">
        <v>516</v>
      </c>
      <c r="K108" s="24" t="s">
        <v>517</v>
      </c>
      <c r="L108" s="26" t="s">
        <v>625</v>
      </c>
      <c r="M108" s="27" t="s">
        <v>626</v>
      </c>
      <c r="N108" s="28" t="e">
        <f>VLOOKUP(Table1[[#This Row],[ID TOKO]],Data_Aktual,4,FALSE)</f>
        <v>#N/A</v>
      </c>
      <c r="O108" s="29" t="s">
        <v>2922</v>
      </c>
      <c r="R108" s="5"/>
      <c r="S108" s="5"/>
    </row>
    <row r="109" spans="1:19" s="1" customFormat="1" ht="20.25" customHeight="1" x14ac:dyDescent="0.3">
      <c r="A109" s="1">
        <v>1</v>
      </c>
      <c r="B109" s="23">
        <v>103</v>
      </c>
      <c r="C109" s="24" t="s">
        <v>13</v>
      </c>
      <c r="D109" s="24" t="s">
        <v>627</v>
      </c>
      <c r="E109" s="24" t="s">
        <v>628</v>
      </c>
      <c r="F109" s="24" t="s">
        <v>629</v>
      </c>
      <c r="G109" s="37" t="s">
        <v>630</v>
      </c>
      <c r="H109" s="24" t="s">
        <v>542</v>
      </c>
      <c r="I109" s="24" t="s">
        <v>515</v>
      </c>
      <c r="J109" s="24" t="s">
        <v>516</v>
      </c>
      <c r="K109" s="24" t="s">
        <v>517</v>
      </c>
      <c r="L109" s="26" t="s">
        <v>631</v>
      </c>
      <c r="M109" s="27" t="s">
        <v>632</v>
      </c>
      <c r="N109" s="28" t="e">
        <f>VLOOKUP(Table1[[#This Row],[ID TOKO]],Data_Aktual,4,FALSE)</f>
        <v>#N/A</v>
      </c>
      <c r="O109" s="29" t="s">
        <v>2920</v>
      </c>
      <c r="R109" s="5"/>
      <c r="S109" s="5"/>
    </row>
    <row r="110" spans="1:19" s="1" customFormat="1" ht="20.25" customHeight="1" x14ac:dyDescent="0.3">
      <c r="A110" s="1">
        <v>1</v>
      </c>
      <c r="B110" s="23">
        <v>104</v>
      </c>
      <c r="C110" s="24" t="s">
        <v>13</v>
      </c>
      <c r="D110" s="24" t="s">
        <v>633</v>
      </c>
      <c r="E110" s="24" t="s">
        <v>634</v>
      </c>
      <c r="F110" s="30" t="s">
        <v>635</v>
      </c>
      <c r="G110" s="30" t="s">
        <v>636</v>
      </c>
      <c r="H110" s="30" t="s">
        <v>582</v>
      </c>
      <c r="I110" s="24" t="s">
        <v>515</v>
      </c>
      <c r="J110" s="24" t="s">
        <v>291</v>
      </c>
      <c r="K110" s="30" t="s">
        <v>517</v>
      </c>
      <c r="L110" s="26" t="s">
        <v>637</v>
      </c>
      <c r="M110" s="27" t="s">
        <v>638</v>
      </c>
      <c r="N110" s="28" t="e">
        <f>VLOOKUP(Table1[[#This Row],[ID TOKO]],Data_Aktual,4,FALSE)</f>
        <v>#N/A</v>
      </c>
      <c r="O110" s="29" t="s">
        <v>2918</v>
      </c>
      <c r="R110" s="5"/>
      <c r="S110" s="5"/>
    </row>
    <row r="111" spans="1:19" s="1" customFormat="1" ht="20.25" customHeight="1" x14ac:dyDescent="0.3">
      <c r="A111" s="1">
        <v>1</v>
      </c>
      <c r="B111" s="23">
        <v>105</v>
      </c>
      <c r="C111" s="24" t="s">
        <v>13</v>
      </c>
      <c r="D111" s="24" t="s">
        <v>639</v>
      </c>
      <c r="E111" s="24" t="s">
        <v>640</v>
      </c>
      <c r="F111" s="24" t="s">
        <v>641</v>
      </c>
      <c r="G111" s="37" t="s">
        <v>642</v>
      </c>
      <c r="H111" s="24" t="s">
        <v>643</v>
      </c>
      <c r="I111" s="24" t="s">
        <v>515</v>
      </c>
      <c r="J111" s="24" t="s">
        <v>291</v>
      </c>
      <c r="K111" s="24" t="s">
        <v>517</v>
      </c>
      <c r="L111" s="26" t="s">
        <v>644</v>
      </c>
      <c r="M111" s="27" t="s">
        <v>645</v>
      </c>
      <c r="N111" s="28" t="e">
        <f>VLOOKUP(Table1[[#This Row],[ID TOKO]],Data_Aktual,4,FALSE)</f>
        <v>#N/A</v>
      </c>
      <c r="O111" s="29" t="s">
        <v>2917</v>
      </c>
      <c r="R111" s="5"/>
      <c r="S111" s="5"/>
    </row>
    <row r="112" spans="1:19" s="1" customFormat="1" ht="20.25" customHeight="1" x14ac:dyDescent="0.25">
      <c r="A112" s="1">
        <v>1</v>
      </c>
      <c r="B112" s="23">
        <v>106</v>
      </c>
      <c r="C112" s="24" t="s">
        <v>13</v>
      </c>
      <c r="D112" s="24" t="s">
        <v>646</v>
      </c>
      <c r="E112" s="24" t="s">
        <v>647</v>
      </c>
      <c r="F112" s="24" t="s">
        <v>648</v>
      </c>
      <c r="G112" s="37" t="s">
        <v>649</v>
      </c>
      <c r="H112" s="24" t="s">
        <v>582</v>
      </c>
      <c r="I112" s="24" t="s">
        <v>515</v>
      </c>
      <c r="J112" s="24" t="s">
        <v>291</v>
      </c>
      <c r="K112" s="24" t="s">
        <v>517</v>
      </c>
      <c r="L112" s="26" t="s">
        <v>650</v>
      </c>
      <c r="M112" s="25"/>
      <c r="N112" s="28" t="e">
        <f>VLOOKUP(Table1[[#This Row],[ID TOKO]],Data_Aktual,4,FALSE)</f>
        <v>#N/A</v>
      </c>
      <c r="O112" s="29" t="s">
        <v>2915</v>
      </c>
      <c r="R112" s="5"/>
      <c r="S112" s="5"/>
    </row>
    <row r="113" spans="1:19" s="1" customFormat="1" ht="20.25" customHeight="1" x14ac:dyDescent="0.3">
      <c r="A113" s="1">
        <v>1</v>
      </c>
      <c r="B113" s="23">
        <v>107</v>
      </c>
      <c r="C113" s="24" t="s">
        <v>13</v>
      </c>
      <c r="D113" s="24" t="s">
        <v>651</v>
      </c>
      <c r="E113" s="24" t="s">
        <v>652</v>
      </c>
      <c r="F113" s="24" t="s">
        <v>653</v>
      </c>
      <c r="G113" s="25" t="s">
        <v>654</v>
      </c>
      <c r="H113" s="24" t="s">
        <v>531</v>
      </c>
      <c r="I113" s="24" t="s">
        <v>515</v>
      </c>
      <c r="J113" s="24" t="s">
        <v>516</v>
      </c>
      <c r="K113" s="24" t="s">
        <v>517</v>
      </c>
      <c r="L113" s="26" t="s">
        <v>655</v>
      </c>
      <c r="M113" s="27" t="s">
        <v>656</v>
      </c>
      <c r="N113" s="28" t="e">
        <f>VLOOKUP(Table1[[#This Row],[ID TOKO]],Data_Aktual,4,FALSE)</f>
        <v>#N/A</v>
      </c>
      <c r="O113" s="29" t="s">
        <v>2366</v>
      </c>
      <c r="R113" s="5"/>
      <c r="S113" s="5"/>
    </row>
    <row r="114" spans="1:19" s="1" customFormat="1" ht="20.25" customHeight="1" x14ac:dyDescent="0.3">
      <c r="A114" s="1">
        <v>1</v>
      </c>
      <c r="B114" s="23">
        <v>108</v>
      </c>
      <c r="C114" s="24" t="s">
        <v>13</v>
      </c>
      <c r="D114" s="24" t="s">
        <v>657</v>
      </c>
      <c r="E114" s="24" t="s">
        <v>658</v>
      </c>
      <c r="F114" s="24" t="s">
        <v>659</v>
      </c>
      <c r="G114" s="37" t="s">
        <v>660</v>
      </c>
      <c r="H114" s="24" t="s">
        <v>588</v>
      </c>
      <c r="I114" s="24" t="s">
        <v>515</v>
      </c>
      <c r="J114" s="24" t="s">
        <v>291</v>
      </c>
      <c r="K114" s="24" t="s">
        <v>517</v>
      </c>
      <c r="L114" s="26" t="s">
        <v>661</v>
      </c>
      <c r="M114" s="27" t="s">
        <v>662</v>
      </c>
      <c r="N114" s="28" t="e">
        <f>VLOOKUP(Table1[[#This Row],[ID TOKO]],Data_Aktual,4,FALSE)</f>
        <v>#N/A</v>
      </c>
      <c r="O114" s="29" t="s">
        <v>2364</v>
      </c>
      <c r="R114" s="5"/>
      <c r="S114" s="5"/>
    </row>
    <row r="115" spans="1:19" s="1" customFormat="1" ht="20.25" customHeight="1" x14ac:dyDescent="0.25">
      <c r="A115" s="1">
        <v>1</v>
      </c>
      <c r="B115" s="23">
        <v>109</v>
      </c>
      <c r="C115" s="24" t="s">
        <v>13</v>
      </c>
      <c r="D115" s="24" t="s">
        <v>663</v>
      </c>
      <c r="E115" s="24" t="s">
        <v>664</v>
      </c>
      <c r="F115" s="24" t="s">
        <v>665</v>
      </c>
      <c r="G115" s="25" t="s">
        <v>666</v>
      </c>
      <c r="H115" s="24" t="s">
        <v>531</v>
      </c>
      <c r="I115" s="24" t="s">
        <v>515</v>
      </c>
      <c r="J115" s="24" t="s">
        <v>516</v>
      </c>
      <c r="K115" s="24" t="s">
        <v>517</v>
      </c>
      <c r="L115" s="26" t="s">
        <v>667</v>
      </c>
      <c r="M115" s="30"/>
      <c r="N115" s="28" t="e">
        <f>VLOOKUP(Table1[[#This Row],[ID TOKO]],Data_Aktual,4,FALSE)</f>
        <v>#N/A</v>
      </c>
      <c r="O115" s="29" t="s">
        <v>2362</v>
      </c>
      <c r="R115" s="5"/>
      <c r="S115" s="5"/>
    </row>
    <row r="116" spans="1:19" s="1" customFormat="1" ht="20.25" customHeight="1" x14ac:dyDescent="0.25">
      <c r="A116" s="1">
        <v>1</v>
      </c>
      <c r="B116" s="23">
        <v>110</v>
      </c>
      <c r="C116" s="24" t="s">
        <v>13</v>
      </c>
      <c r="D116" s="24" t="s">
        <v>668</v>
      </c>
      <c r="E116" s="24" t="s">
        <v>669</v>
      </c>
      <c r="F116" s="24" t="s">
        <v>670</v>
      </c>
      <c r="G116" s="25" t="s">
        <v>671</v>
      </c>
      <c r="H116" s="24" t="s">
        <v>672</v>
      </c>
      <c r="I116" s="24" t="s">
        <v>515</v>
      </c>
      <c r="J116" s="24" t="s">
        <v>612</v>
      </c>
      <c r="K116" s="24" t="s">
        <v>517</v>
      </c>
      <c r="L116" s="26" t="s">
        <v>673</v>
      </c>
      <c r="M116" s="36" t="s">
        <v>674</v>
      </c>
      <c r="N116" s="28" t="e">
        <f>VLOOKUP(Table1[[#This Row],[ID TOKO]],Data_Aktual,4,FALSE)</f>
        <v>#N/A</v>
      </c>
      <c r="O116" s="29" t="s">
        <v>2913</v>
      </c>
      <c r="R116" s="5"/>
      <c r="S116" s="5"/>
    </row>
    <row r="117" spans="1:19" s="1" customFormat="1" ht="20.25" customHeight="1" x14ac:dyDescent="0.3">
      <c r="A117" s="1">
        <v>1</v>
      </c>
      <c r="B117" s="23">
        <v>111</v>
      </c>
      <c r="C117" s="24" t="s">
        <v>13</v>
      </c>
      <c r="D117" s="24" t="s">
        <v>675</v>
      </c>
      <c r="E117" s="24" t="s">
        <v>676</v>
      </c>
      <c r="F117" s="24" t="s">
        <v>677</v>
      </c>
      <c r="G117" s="37" t="s">
        <v>678</v>
      </c>
      <c r="H117" s="24" t="s">
        <v>679</v>
      </c>
      <c r="I117" s="24" t="s">
        <v>515</v>
      </c>
      <c r="J117" s="24" t="s">
        <v>612</v>
      </c>
      <c r="K117" s="24" t="s">
        <v>517</v>
      </c>
      <c r="L117" s="26" t="s">
        <v>680</v>
      </c>
      <c r="M117" s="27" t="s">
        <v>681</v>
      </c>
      <c r="N117" s="28" t="e">
        <f>VLOOKUP(Table1[[#This Row],[ID TOKO]],Data_Aktual,4,FALSE)</f>
        <v>#N/A</v>
      </c>
      <c r="O117" s="29" t="s">
        <v>2911</v>
      </c>
      <c r="R117" s="5"/>
      <c r="S117" s="5"/>
    </row>
    <row r="118" spans="1:19" s="1" customFormat="1" ht="20.25" customHeight="1" x14ac:dyDescent="0.3">
      <c r="A118" s="1">
        <v>1</v>
      </c>
      <c r="B118" s="23">
        <v>112</v>
      </c>
      <c r="C118" s="24" t="s">
        <v>13</v>
      </c>
      <c r="D118" s="24" t="s">
        <v>682</v>
      </c>
      <c r="E118" s="24" t="s">
        <v>683</v>
      </c>
      <c r="F118" s="24" t="s">
        <v>684</v>
      </c>
      <c r="G118" s="37" t="s">
        <v>685</v>
      </c>
      <c r="H118" s="24" t="s">
        <v>686</v>
      </c>
      <c r="I118" s="24" t="s">
        <v>515</v>
      </c>
      <c r="J118" s="24" t="s">
        <v>612</v>
      </c>
      <c r="K118" s="24" t="s">
        <v>517</v>
      </c>
      <c r="L118" s="26" t="s">
        <v>687</v>
      </c>
      <c r="M118" s="27" t="s">
        <v>688</v>
      </c>
      <c r="N118" s="28" t="e">
        <f>VLOOKUP(Table1[[#This Row],[ID TOKO]],Data_Aktual,4,FALSE)</f>
        <v>#N/A</v>
      </c>
      <c r="O118" s="29" t="s">
        <v>2909</v>
      </c>
      <c r="R118" s="5"/>
      <c r="S118" s="5"/>
    </row>
    <row r="119" spans="1:19" s="1" customFormat="1" ht="20.25" customHeight="1" x14ac:dyDescent="0.3">
      <c r="A119" s="1">
        <v>1</v>
      </c>
      <c r="B119" s="23">
        <v>113</v>
      </c>
      <c r="C119" s="24" t="s">
        <v>13</v>
      </c>
      <c r="D119" s="24" t="s">
        <v>689</v>
      </c>
      <c r="E119" s="24" t="s">
        <v>690</v>
      </c>
      <c r="F119" s="24" t="s">
        <v>691</v>
      </c>
      <c r="G119" s="25" t="s">
        <v>692</v>
      </c>
      <c r="H119" s="24" t="s">
        <v>514</v>
      </c>
      <c r="I119" s="24" t="s">
        <v>515</v>
      </c>
      <c r="J119" s="24" t="s">
        <v>516</v>
      </c>
      <c r="K119" s="24" t="s">
        <v>517</v>
      </c>
      <c r="L119" s="26" t="s">
        <v>693</v>
      </c>
      <c r="M119" s="27" t="s">
        <v>694</v>
      </c>
      <c r="N119" s="28" t="e">
        <f>VLOOKUP(Table1[[#This Row],[ID TOKO]],Data_Aktual,4,FALSE)</f>
        <v>#N/A</v>
      </c>
      <c r="O119" s="29" t="s">
        <v>2907</v>
      </c>
      <c r="R119" s="5"/>
      <c r="S119" s="5"/>
    </row>
    <row r="120" spans="1:19" s="1" customFormat="1" ht="20.25" customHeight="1" x14ac:dyDescent="0.3">
      <c r="A120" s="1">
        <v>1</v>
      </c>
      <c r="B120" s="23">
        <v>114</v>
      </c>
      <c r="C120" s="24" t="s">
        <v>13</v>
      </c>
      <c r="D120" s="24" t="s">
        <v>695</v>
      </c>
      <c r="E120" s="24" t="s">
        <v>696</v>
      </c>
      <c r="F120" s="24" t="s">
        <v>697</v>
      </c>
      <c r="G120" s="37" t="s">
        <v>698</v>
      </c>
      <c r="H120" s="24" t="s">
        <v>582</v>
      </c>
      <c r="I120" s="24" t="s">
        <v>515</v>
      </c>
      <c r="J120" s="24" t="s">
        <v>291</v>
      </c>
      <c r="K120" s="24" t="s">
        <v>517</v>
      </c>
      <c r="L120" s="26" t="s">
        <v>699</v>
      </c>
      <c r="M120" s="27" t="s">
        <v>700</v>
      </c>
      <c r="N120" s="28" t="e">
        <f>VLOOKUP(Table1[[#This Row],[ID TOKO]],Data_Aktual,4,FALSE)</f>
        <v>#N/A</v>
      </c>
      <c r="O120" s="29" t="s">
        <v>2905</v>
      </c>
      <c r="R120" s="5"/>
      <c r="S120" s="5"/>
    </row>
    <row r="121" spans="1:19" s="1" customFormat="1" ht="20.25" customHeight="1" x14ac:dyDescent="0.3">
      <c r="A121" s="1">
        <v>1</v>
      </c>
      <c r="B121" s="23">
        <v>115</v>
      </c>
      <c r="C121" s="24" t="s">
        <v>13</v>
      </c>
      <c r="D121" s="24" t="s">
        <v>701</v>
      </c>
      <c r="E121" s="24" t="s">
        <v>702</v>
      </c>
      <c r="F121" s="24" t="s">
        <v>703</v>
      </c>
      <c r="G121" s="37" t="s">
        <v>704</v>
      </c>
      <c r="H121" s="24" t="s">
        <v>542</v>
      </c>
      <c r="I121" s="24" t="s">
        <v>515</v>
      </c>
      <c r="J121" s="24" t="s">
        <v>516</v>
      </c>
      <c r="K121" s="24" t="s">
        <v>517</v>
      </c>
      <c r="L121" s="26" t="s">
        <v>705</v>
      </c>
      <c r="M121" s="27" t="s">
        <v>706</v>
      </c>
      <c r="N121" s="28" t="e">
        <f>VLOOKUP(Table1[[#This Row],[ID TOKO]],Data_Aktual,4,FALSE)</f>
        <v>#N/A</v>
      </c>
      <c r="O121" s="29" t="s">
        <v>2903</v>
      </c>
      <c r="R121" s="5"/>
      <c r="S121" s="5"/>
    </row>
    <row r="122" spans="1:19" s="1" customFormat="1" ht="20.25" customHeight="1" x14ac:dyDescent="0.3">
      <c r="A122" s="1">
        <v>1</v>
      </c>
      <c r="B122" s="23">
        <v>116</v>
      </c>
      <c r="C122" s="24" t="s">
        <v>13</v>
      </c>
      <c r="D122" s="24" t="s">
        <v>707</v>
      </c>
      <c r="E122" s="24" t="s">
        <v>708</v>
      </c>
      <c r="F122" s="24" t="s">
        <v>709</v>
      </c>
      <c r="G122" s="37" t="s">
        <v>710</v>
      </c>
      <c r="H122" s="24" t="s">
        <v>672</v>
      </c>
      <c r="I122" s="24" t="s">
        <v>515</v>
      </c>
      <c r="J122" s="24" t="s">
        <v>612</v>
      </c>
      <c r="K122" s="24" t="s">
        <v>517</v>
      </c>
      <c r="L122" s="26" t="s">
        <v>711</v>
      </c>
      <c r="M122" s="27" t="s">
        <v>712</v>
      </c>
      <c r="N122" s="28" t="e">
        <f>VLOOKUP(Table1[[#This Row],[ID TOKO]],Data_Aktual,4,FALSE)</f>
        <v>#N/A</v>
      </c>
      <c r="O122" s="29" t="s">
        <v>2901</v>
      </c>
      <c r="R122" s="5"/>
      <c r="S122" s="5"/>
    </row>
    <row r="123" spans="1:19" s="1" customFormat="1" ht="20.25" customHeight="1" x14ac:dyDescent="0.3">
      <c r="A123" s="1">
        <v>1</v>
      </c>
      <c r="B123" s="23">
        <v>117</v>
      </c>
      <c r="C123" s="24" t="s">
        <v>13</v>
      </c>
      <c r="D123" s="24" t="s">
        <v>713</v>
      </c>
      <c r="E123" s="24" t="s">
        <v>714</v>
      </c>
      <c r="F123" s="24" t="s">
        <v>715</v>
      </c>
      <c r="G123" s="37" t="s">
        <v>716</v>
      </c>
      <c r="H123" s="24" t="s">
        <v>582</v>
      </c>
      <c r="I123" s="24" t="s">
        <v>515</v>
      </c>
      <c r="J123" s="24" t="s">
        <v>291</v>
      </c>
      <c r="K123" s="24" t="s">
        <v>517</v>
      </c>
      <c r="L123" s="26" t="s">
        <v>717</v>
      </c>
      <c r="M123" s="27" t="s">
        <v>718</v>
      </c>
      <c r="N123" s="28" t="e">
        <f>VLOOKUP(Table1[[#This Row],[ID TOKO]],Data_Aktual,4,FALSE)</f>
        <v>#N/A</v>
      </c>
      <c r="O123" s="29" t="s">
        <v>2899</v>
      </c>
      <c r="R123" s="5"/>
      <c r="S123" s="5"/>
    </row>
    <row r="124" spans="1:19" s="1" customFormat="1" ht="20.25" customHeight="1" x14ac:dyDescent="0.3">
      <c r="A124" s="1">
        <v>1</v>
      </c>
      <c r="B124" s="23">
        <v>118</v>
      </c>
      <c r="C124" s="24" t="s">
        <v>13</v>
      </c>
      <c r="D124" s="24" t="s">
        <v>719</v>
      </c>
      <c r="E124" s="24" t="s">
        <v>720</v>
      </c>
      <c r="F124" s="24" t="s">
        <v>721</v>
      </c>
      <c r="G124" s="25" t="s">
        <v>722</v>
      </c>
      <c r="H124" s="24" t="s">
        <v>582</v>
      </c>
      <c r="I124" s="24" t="s">
        <v>515</v>
      </c>
      <c r="J124" s="24" t="s">
        <v>291</v>
      </c>
      <c r="K124" s="24" t="s">
        <v>517</v>
      </c>
      <c r="L124" s="26" t="s">
        <v>723</v>
      </c>
      <c r="M124" s="27" t="s">
        <v>724</v>
      </c>
      <c r="N124" s="28" t="e">
        <f>VLOOKUP(Table1[[#This Row],[ID TOKO]],Data_Aktual,4,FALSE)</f>
        <v>#N/A</v>
      </c>
      <c r="O124" s="29" t="s">
        <v>2897</v>
      </c>
      <c r="R124" s="5"/>
      <c r="S124" s="5"/>
    </row>
    <row r="125" spans="1:19" s="1" customFormat="1" ht="20.25" customHeight="1" x14ac:dyDescent="0.3">
      <c r="A125" s="1">
        <v>1</v>
      </c>
      <c r="B125" s="23">
        <v>119</v>
      </c>
      <c r="C125" s="24" t="s">
        <v>13</v>
      </c>
      <c r="D125" s="24" t="s">
        <v>725</v>
      </c>
      <c r="E125" s="24" t="s">
        <v>726</v>
      </c>
      <c r="F125" s="24" t="s">
        <v>727</v>
      </c>
      <c r="G125" s="37" t="s">
        <v>728</v>
      </c>
      <c r="H125" s="24" t="s">
        <v>531</v>
      </c>
      <c r="I125" s="24" t="s">
        <v>515</v>
      </c>
      <c r="J125" s="24" t="s">
        <v>516</v>
      </c>
      <c r="K125" s="24" t="s">
        <v>517</v>
      </c>
      <c r="L125" s="26" t="s">
        <v>729</v>
      </c>
      <c r="M125" s="27" t="s">
        <v>730</v>
      </c>
      <c r="N125" s="28" t="e">
        <f>VLOOKUP(Table1[[#This Row],[ID TOKO]],Data_Aktual,4,FALSE)</f>
        <v>#N/A</v>
      </c>
      <c r="O125" s="29" t="s">
        <v>2895</v>
      </c>
      <c r="R125" s="5"/>
      <c r="S125" s="5"/>
    </row>
    <row r="126" spans="1:19" s="1" customFormat="1" ht="20.25" customHeight="1" x14ac:dyDescent="0.3">
      <c r="A126" s="1">
        <v>1</v>
      </c>
      <c r="B126" s="23">
        <v>120</v>
      </c>
      <c r="C126" s="24" t="s">
        <v>13</v>
      </c>
      <c r="D126" s="24" t="s">
        <v>731</v>
      </c>
      <c r="E126" s="24" t="s">
        <v>732</v>
      </c>
      <c r="F126" s="24" t="s">
        <v>733</v>
      </c>
      <c r="G126" s="37" t="s">
        <v>734</v>
      </c>
      <c r="H126" s="24" t="s">
        <v>643</v>
      </c>
      <c r="I126" s="24" t="s">
        <v>515</v>
      </c>
      <c r="J126" s="24" t="s">
        <v>291</v>
      </c>
      <c r="K126" s="24" t="s">
        <v>517</v>
      </c>
      <c r="L126" s="26" t="s">
        <v>735</v>
      </c>
      <c r="M126" s="27" t="s">
        <v>736</v>
      </c>
      <c r="N126" s="28" t="e">
        <f>VLOOKUP(Table1[[#This Row],[ID TOKO]],Data_Aktual,4,FALSE)</f>
        <v>#N/A</v>
      </c>
      <c r="O126" s="29" t="s">
        <v>2893</v>
      </c>
      <c r="R126" s="5"/>
      <c r="S126" s="5"/>
    </row>
    <row r="127" spans="1:19" s="1" customFormat="1" ht="20.25" customHeight="1" x14ac:dyDescent="0.3">
      <c r="A127" s="1">
        <v>1</v>
      </c>
      <c r="B127" s="23">
        <v>121</v>
      </c>
      <c r="C127" s="24" t="s">
        <v>13</v>
      </c>
      <c r="D127" s="24" t="s">
        <v>737</v>
      </c>
      <c r="E127" s="24" t="s">
        <v>738</v>
      </c>
      <c r="F127" s="24" t="s">
        <v>739</v>
      </c>
      <c r="G127" s="37" t="s">
        <v>740</v>
      </c>
      <c r="H127" s="24" t="s">
        <v>679</v>
      </c>
      <c r="I127" s="24" t="s">
        <v>515</v>
      </c>
      <c r="J127" s="24" t="s">
        <v>612</v>
      </c>
      <c r="K127" s="24" t="s">
        <v>517</v>
      </c>
      <c r="L127" s="26" t="s">
        <v>741</v>
      </c>
      <c r="M127" s="27" t="s">
        <v>742</v>
      </c>
      <c r="N127" s="28" t="e">
        <f>VLOOKUP(Table1[[#This Row],[ID TOKO]],Data_Aktual,4,FALSE)</f>
        <v>#N/A</v>
      </c>
      <c r="O127" s="29" t="s">
        <v>2891</v>
      </c>
      <c r="R127" s="5"/>
      <c r="S127" s="5"/>
    </row>
    <row r="128" spans="1:19" s="1" customFormat="1" ht="20.25" customHeight="1" x14ac:dyDescent="0.3">
      <c r="A128" s="1">
        <v>1</v>
      </c>
      <c r="B128" s="23">
        <v>122</v>
      </c>
      <c r="C128" s="24" t="s">
        <v>13</v>
      </c>
      <c r="D128" s="24" t="s">
        <v>743</v>
      </c>
      <c r="E128" s="24" t="s">
        <v>744</v>
      </c>
      <c r="F128" s="24" t="s">
        <v>745</v>
      </c>
      <c r="G128" s="37" t="s">
        <v>746</v>
      </c>
      <c r="H128" s="24" t="s">
        <v>611</v>
      </c>
      <c r="I128" s="24" t="s">
        <v>515</v>
      </c>
      <c r="J128" s="24" t="s">
        <v>612</v>
      </c>
      <c r="K128" s="24" t="s">
        <v>517</v>
      </c>
      <c r="L128" s="26" t="s">
        <v>747</v>
      </c>
      <c r="M128" s="27" t="s">
        <v>748</v>
      </c>
      <c r="N128" s="28" t="e">
        <f>VLOOKUP(Table1[[#This Row],[ID TOKO]],Data_Aktual,4,FALSE)</f>
        <v>#N/A</v>
      </c>
      <c r="O128" s="29" t="s">
        <v>2889</v>
      </c>
      <c r="R128" s="5"/>
      <c r="S128" s="5"/>
    </row>
    <row r="129" spans="1:19" s="1" customFormat="1" ht="20.25" customHeight="1" x14ac:dyDescent="0.3">
      <c r="A129" s="1">
        <v>1</v>
      </c>
      <c r="B129" s="23">
        <v>123</v>
      </c>
      <c r="C129" s="24" t="s">
        <v>13</v>
      </c>
      <c r="D129" s="24" t="s">
        <v>749</v>
      </c>
      <c r="E129" s="24" t="s">
        <v>750</v>
      </c>
      <c r="F129" s="24" t="s">
        <v>751</v>
      </c>
      <c r="G129" s="37" t="s">
        <v>752</v>
      </c>
      <c r="H129" s="24" t="s">
        <v>588</v>
      </c>
      <c r="I129" s="24" t="s">
        <v>515</v>
      </c>
      <c r="J129" s="24" t="s">
        <v>291</v>
      </c>
      <c r="K129" s="24" t="s">
        <v>517</v>
      </c>
      <c r="L129" s="26" t="s">
        <v>753</v>
      </c>
      <c r="M129" s="27" t="s">
        <v>754</v>
      </c>
      <c r="N129" s="28" t="e">
        <f>VLOOKUP(Table1[[#This Row],[ID TOKO]],Data_Aktual,4,FALSE)</f>
        <v>#N/A</v>
      </c>
      <c r="O129" s="29" t="s">
        <v>2887</v>
      </c>
      <c r="R129" s="5"/>
      <c r="S129" s="5"/>
    </row>
    <row r="130" spans="1:19" s="1" customFormat="1" ht="20.25" customHeight="1" x14ac:dyDescent="0.3">
      <c r="A130" s="1">
        <v>1</v>
      </c>
      <c r="B130" s="23">
        <v>124</v>
      </c>
      <c r="C130" s="24" t="s">
        <v>13</v>
      </c>
      <c r="D130" s="24" t="s">
        <v>755</v>
      </c>
      <c r="E130" s="24" t="s">
        <v>756</v>
      </c>
      <c r="F130" s="24" t="s">
        <v>757</v>
      </c>
      <c r="G130" s="37" t="s">
        <v>758</v>
      </c>
      <c r="H130" s="24" t="s">
        <v>643</v>
      </c>
      <c r="I130" s="24" t="s">
        <v>515</v>
      </c>
      <c r="J130" s="24" t="s">
        <v>291</v>
      </c>
      <c r="K130" s="24" t="s">
        <v>517</v>
      </c>
      <c r="L130" s="26" t="s">
        <v>759</v>
      </c>
      <c r="M130" s="27" t="s">
        <v>760</v>
      </c>
      <c r="N130" s="28" t="e">
        <f>VLOOKUP(Table1[[#This Row],[ID TOKO]],Data_Aktual,4,FALSE)</f>
        <v>#N/A</v>
      </c>
      <c r="O130" s="29" t="s">
        <v>2885</v>
      </c>
      <c r="R130" s="5"/>
      <c r="S130" s="5"/>
    </row>
    <row r="131" spans="1:19" s="1" customFormat="1" ht="20.25" customHeight="1" x14ac:dyDescent="0.3">
      <c r="A131" s="1">
        <v>1</v>
      </c>
      <c r="B131" s="23">
        <v>125</v>
      </c>
      <c r="C131" s="24" t="s">
        <v>13</v>
      </c>
      <c r="D131" s="24" t="s">
        <v>761</v>
      </c>
      <c r="E131" s="24" t="s">
        <v>762</v>
      </c>
      <c r="F131" s="24" t="s">
        <v>763</v>
      </c>
      <c r="G131" s="37" t="s">
        <v>764</v>
      </c>
      <c r="H131" s="24" t="s">
        <v>643</v>
      </c>
      <c r="I131" s="24" t="s">
        <v>515</v>
      </c>
      <c r="J131" s="24" t="s">
        <v>291</v>
      </c>
      <c r="K131" s="24" t="s">
        <v>517</v>
      </c>
      <c r="L131" s="26" t="s">
        <v>765</v>
      </c>
      <c r="M131" s="27" t="s">
        <v>766</v>
      </c>
      <c r="N131" s="28" t="e">
        <f>VLOOKUP(Table1[[#This Row],[ID TOKO]],Data_Aktual,4,FALSE)</f>
        <v>#N/A</v>
      </c>
      <c r="O131" s="29" t="s">
        <v>2770</v>
      </c>
      <c r="R131" s="5"/>
      <c r="S131" s="5"/>
    </row>
    <row r="132" spans="1:19" s="1" customFormat="1" ht="20.25" customHeight="1" x14ac:dyDescent="0.3">
      <c r="A132" s="1">
        <v>1</v>
      </c>
      <c r="B132" s="23">
        <v>126</v>
      </c>
      <c r="C132" s="24" t="s">
        <v>13</v>
      </c>
      <c r="D132" s="24" t="s">
        <v>767</v>
      </c>
      <c r="E132" s="24" t="s">
        <v>768</v>
      </c>
      <c r="F132" s="24" t="s">
        <v>763</v>
      </c>
      <c r="G132" s="37" t="s">
        <v>769</v>
      </c>
      <c r="H132" s="24" t="s">
        <v>588</v>
      </c>
      <c r="I132" s="24" t="s">
        <v>515</v>
      </c>
      <c r="J132" s="24" t="s">
        <v>291</v>
      </c>
      <c r="K132" s="24" t="s">
        <v>517</v>
      </c>
      <c r="L132" s="26" t="s">
        <v>770</v>
      </c>
      <c r="M132" s="27" t="s">
        <v>771</v>
      </c>
      <c r="N132" s="28" t="e">
        <f>VLOOKUP(Table1[[#This Row],[ID TOKO]],Data_Aktual,4,FALSE)</f>
        <v>#N/A</v>
      </c>
      <c r="O132" s="29" t="s">
        <v>2883</v>
      </c>
      <c r="R132" s="5"/>
      <c r="S132" s="5"/>
    </row>
    <row r="133" spans="1:19" s="1" customFormat="1" ht="20.25" customHeight="1" x14ac:dyDescent="0.3">
      <c r="A133" s="1">
        <v>1</v>
      </c>
      <c r="B133" s="23">
        <v>127</v>
      </c>
      <c r="C133" s="24" t="s">
        <v>13</v>
      </c>
      <c r="D133" s="24" t="s">
        <v>772</v>
      </c>
      <c r="E133" s="24" t="s">
        <v>773</v>
      </c>
      <c r="F133" s="24" t="s">
        <v>763</v>
      </c>
      <c r="G133" s="25" t="s">
        <v>774</v>
      </c>
      <c r="H133" s="24" t="s">
        <v>643</v>
      </c>
      <c r="I133" s="24" t="s">
        <v>515</v>
      </c>
      <c r="J133" s="24" t="s">
        <v>291</v>
      </c>
      <c r="K133" s="24" t="s">
        <v>517</v>
      </c>
      <c r="L133" s="26" t="s">
        <v>765</v>
      </c>
      <c r="M133" s="27" t="s">
        <v>775</v>
      </c>
      <c r="N133" s="28" t="e">
        <f>VLOOKUP(Table1[[#This Row],[ID TOKO]],Data_Aktual,4,FALSE)</f>
        <v>#N/A</v>
      </c>
      <c r="O133" s="29" t="s">
        <v>2881</v>
      </c>
      <c r="R133" s="5"/>
      <c r="S133" s="5"/>
    </row>
    <row r="134" spans="1:19" s="1" customFormat="1" ht="20.25" customHeight="1" x14ac:dyDescent="0.3">
      <c r="A134" s="1">
        <v>1</v>
      </c>
      <c r="B134" s="23">
        <v>128</v>
      </c>
      <c r="C134" s="24" t="s">
        <v>13</v>
      </c>
      <c r="D134" s="24" t="s">
        <v>776</v>
      </c>
      <c r="E134" s="24" t="s">
        <v>777</v>
      </c>
      <c r="F134" s="24" t="s">
        <v>778</v>
      </c>
      <c r="G134" s="25" t="s">
        <v>779</v>
      </c>
      <c r="H134" s="24" t="s">
        <v>780</v>
      </c>
      <c r="I134" s="24" t="s">
        <v>515</v>
      </c>
      <c r="J134" s="24" t="s">
        <v>516</v>
      </c>
      <c r="K134" s="24" t="s">
        <v>517</v>
      </c>
      <c r="L134" s="26" t="s">
        <v>781</v>
      </c>
      <c r="M134" s="27" t="s">
        <v>782</v>
      </c>
      <c r="N134" s="28" t="e">
        <f>VLOOKUP(Table1[[#This Row],[ID TOKO]],Data_Aktual,4,FALSE)</f>
        <v>#N/A</v>
      </c>
      <c r="O134" s="29" t="s">
        <v>2879</v>
      </c>
      <c r="R134" s="5"/>
      <c r="S134" s="5"/>
    </row>
    <row r="135" spans="1:19" s="1" customFormat="1" ht="20.25" customHeight="1" x14ac:dyDescent="0.3">
      <c r="A135" s="1">
        <v>1</v>
      </c>
      <c r="B135" s="23">
        <v>129</v>
      </c>
      <c r="C135" s="24" t="s">
        <v>13</v>
      </c>
      <c r="D135" s="24" t="s">
        <v>783</v>
      </c>
      <c r="E135" s="24" t="s">
        <v>784</v>
      </c>
      <c r="F135" s="24" t="s">
        <v>785</v>
      </c>
      <c r="G135" s="37" t="s">
        <v>786</v>
      </c>
      <c r="H135" s="24" t="s">
        <v>542</v>
      </c>
      <c r="I135" s="24" t="s">
        <v>515</v>
      </c>
      <c r="J135" s="24" t="s">
        <v>516</v>
      </c>
      <c r="K135" s="24" t="s">
        <v>517</v>
      </c>
      <c r="L135" s="26" t="s">
        <v>787</v>
      </c>
      <c r="M135" s="27" t="s">
        <v>788</v>
      </c>
      <c r="N135" s="28" t="e">
        <f>VLOOKUP(Table1[[#This Row],[ID TOKO]],Data_Aktual,4,FALSE)</f>
        <v>#N/A</v>
      </c>
      <c r="O135" s="29" t="s">
        <v>2877</v>
      </c>
      <c r="R135" s="5"/>
      <c r="S135" s="5"/>
    </row>
    <row r="136" spans="1:19" s="1" customFormat="1" ht="20.25" customHeight="1" x14ac:dyDescent="0.3">
      <c r="A136" s="1">
        <v>1</v>
      </c>
      <c r="B136" s="23">
        <v>130</v>
      </c>
      <c r="C136" s="24" t="s">
        <v>13</v>
      </c>
      <c r="D136" s="24" t="s">
        <v>789</v>
      </c>
      <c r="E136" s="24" t="s">
        <v>790</v>
      </c>
      <c r="F136" s="24" t="s">
        <v>791</v>
      </c>
      <c r="G136" s="37" t="s">
        <v>792</v>
      </c>
      <c r="H136" s="24" t="s">
        <v>611</v>
      </c>
      <c r="I136" s="24" t="s">
        <v>515</v>
      </c>
      <c r="J136" s="24" t="s">
        <v>612</v>
      </c>
      <c r="K136" s="24" t="s">
        <v>517</v>
      </c>
      <c r="L136" s="26" t="s">
        <v>793</v>
      </c>
      <c r="M136" s="27" t="s">
        <v>794</v>
      </c>
      <c r="N136" s="28" t="e">
        <f>VLOOKUP(Table1[[#This Row],[ID TOKO]],Data_Aktual,4,FALSE)</f>
        <v>#N/A</v>
      </c>
      <c r="O136" s="29" t="s">
        <v>2875</v>
      </c>
      <c r="R136" s="5"/>
      <c r="S136" s="5"/>
    </row>
    <row r="137" spans="1:19" s="1" customFormat="1" ht="20.25" customHeight="1" x14ac:dyDescent="0.3">
      <c r="A137" s="1">
        <v>1</v>
      </c>
      <c r="B137" s="23">
        <v>131</v>
      </c>
      <c r="C137" s="24" t="s">
        <v>13</v>
      </c>
      <c r="D137" s="24" t="s">
        <v>795</v>
      </c>
      <c r="E137" s="24" t="s">
        <v>796</v>
      </c>
      <c r="F137" s="24" t="s">
        <v>797</v>
      </c>
      <c r="G137" s="37" t="s">
        <v>798</v>
      </c>
      <c r="H137" s="24" t="s">
        <v>643</v>
      </c>
      <c r="I137" s="24" t="s">
        <v>515</v>
      </c>
      <c r="J137" s="24" t="s">
        <v>291</v>
      </c>
      <c r="K137" s="24" t="s">
        <v>517</v>
      </c>
      <c r="L137" s="26" t="s">
        <v>799</v>
      </c>
      <c r="M137" s="27" t="s">
        <v>800</v>
      </c>
      <c r="N137" s="28" t="e">
        <f>VLOOKUP(Table1[[#This Row],[ID TOKO]],Data_Aktual,4,FALSE)</f>
        <v>#N/A</v>
      </c>
      <c r="O137" s="29" t="s">
        <v>2874</v>
      </c>
      <c r="R137" s="5"/>
      <c r="S137" s="5"/>
    </row>
    <row r="138" spans="1:19" s="1" customFormat="1" ht="20.25" customHeight="1" x14ac:dyDescent="0.3">
      <c r="A138" s="1">
        <v>1</v>
      </c>
      <c r="B138" s="23">
        <v>132</v>
      </c>
      <c r="C138" s="24" t="s">
        <v>13</v>
      </c>
      <c r="D138" s="24" t="s">
        <v>801</v>
      </c>
      <c r="E138" s="24" t="s">
        <v>802</v>
      </c>
      <c r="F138" s="24" t="s">
        <v>803</v>
      </c>
      <c r="G138" s="25" t="s">
        <v>804</v>
      </c>
      <c r="H138" s="24" t="s">
        <v>514</v>
      </c>
      <c r="I138" s="24" t="s">
        <v>515</v>
      </c>
      <c r="J138" s="24" t="s">
        <v>516</v>
      </c>
      <c r="K138" s="24" t="s">
        <v>517</v>
      </c>
      <c r="L138" s="26" t="s">
        <v>805</v>
      </c>
      <c r="M138" s="27" t="s">
        <v>806</v>
      </c>
      <c r="N138" s="28" t="e">
        <f>VLOOKUP(Table1[[#This Row],[ID TOKO]],Data_Aktual,4,FALSE)</f>
        <v>#N/A</v>
      </c>
      <c r="O138" s="29" t="s">
        <v>2872</v>
      </c>
      <c r="R138" s="5"/>
      <c r="S138" s="5"/>
    </row>
    <row r="139" spans="1:19" s="1" customFormat="1" ht="20.25" customHeight="1" x14ac:dyDescent="0.3">
      <c r="A139" s="1">
        <v>1</v>
      </c>
      <c r="B139" s="23">
        <v>133</v>
      </c>
      <c r="C139" s="25" t="s">
        <v>13</v>
      </c>
      <c r="D139" s="25" t="s">
        <v>807</v>
      </c>
      <c r="E139" s="25" t="s">
        <v>808</v>
      </c>
      <c r="F139" s="25" t="s">
        <v>797</v>
      </c>
      <c r="G139" s="25" t="s">
        <v>809</v>
      </c>
      <c r="H139" s="25" t="s">
        <v>582</v>
      </c>
      <c r="I139" s="24" t="s">
        <v>515</v>
      </c>
      <c r="J139" s="25" t="s">
        <v>291</v>
      </c>
      <c r="K139" s="25" t="s">
        <v>517</v>
      </c>
      <c r="L139" s="25" t="s">
        <v>810</v>
      </c>
      <c r="M139" s="27" t="s">
        <v>811</v>
      </c>
      <c r="N139" s="28" t="e">
        <f>VLOOKUP(Table1[[#This Row],[ID TOKO]],Data_Aktual,4,FALSE)</f>
        <v>#N/A</v>
      </c>
      <c r="O139" s="29" t="s">
        <v>2861</v>
      </c>
      <c r="R139" s="5"/>
      <c r="S139" s="5"/>
    </row>
    <row r="140" spans="1:19" s="1" customFormat="1" ht="20.25" customHeight="1" x14ac:dyDescent="0.3">
      <c r="A140" s="1">
        <v>1</v>
      </c>
      <c r="B140" s="23">
        <v>134</v>
      </c>
      <c r="C140" s="24" t="s">
        <v>13</v>
      </c>
      <c r="D140" s="24" t="s">
        <v>812</v>
      </c>
      <c r="E140" s="24" t="s">
        <v>813</v>
      </c>
      <c r="F140" s="25" t="s">
        <v>733</v>
      </c>
      <c r="G140" s="25" t="s">
        <v>814</v>
      </c>
      <c r="H140" s="25" t="s">
        <v>643</v>
      </c>
      <c r="I140" s="24" t="s">
        <v>515</v>
      </c>
      <c r="J140" s="25" t="s">
        <v>291</v>
      </c>
      <c r="K140" s="25" t="s">
        <v>517</v>
      </c>
      <c r="L140" s="26" t="s">
        <v>735</v>
      </c>
      <c r="M140" s="27" t="s">
        <v>815</v>
      </c>
      <c r="N140" s="28" t="e">
        <f>VLOOKUP(Table1[[#This Row],[ID TOKO]],Data_Aktual,4,FALSE)</f>
        <v>#N/A</v>
      </c>
      <c r="O140" s="29" t="s">
        <v>2859</v>
      </c>
      <c r="R140" s="5"/>
      <c r="S140" s="5"/>
    </row>
    <row r="141" spans="1:19" s="1" customFormat="1" ht="20.25" customHeight="1" x14ac:dyDescent="0.3">
      <c r="A141" s="1">
        <v>1</v>
      </c>
      <c r="B141" s="23">
        <v>135</v>
      </c>
      <c r="C141" s="24" t="s">
        <v>13</v>
      </c>
      <c r="D141" s="24" t="s">
        <v>816</v>
      </c>
      <c r="E141" s="24" t="s">
        <v>817</v>
      </c>
      <c r="F141" s="25" t="s">
        <v>818</v>
      </c>
      <c r="G141" s="25" t="s">
        <v>819</v>
      </c>
      <c r="H141" s="25" t="s">
        <v>672</v>
      </c>
      <c r="I141" s="24" t="s">
        <v>515</v>
      </c>
      <c r="J141" s="24" t="s">
        <v>612</v>
      </c>
      <c r="K141" s="25" t="s">
        <v>517</v>
      </c>
      <c r="L141" s="25" t="s">
        <v>820</v>
      </c>
      <c r="M141" s="27" t="s">
        <v>821</v>
      </c>
      <c r="N141" s="28" t="e">
        <f>VLOOKUP(Table1[[#This Row],[ID TOKO]],Data_Aktual,4,FALSE)</f>
        <v>#N/A</v>
      </c>
      <c r="O141" s="29" t="s">
        <v>2857</v>
      </c>
      <c r="R141" s="5"/>
      <c r="S141" s="5"/>
    </row>
    <row r="142" spans="1:19" s="1" customFormat="1" ht="20.25" customHeight="1" x14ac:dyDescent="0.3">
      <c r="A142" s="1">
        <v>1</v>
      </c>
      <c r="B142" s="23">
        <v>136</v>
      </c>
      <c r="C142" s="24" t="s">
        <v>13</v>
      </c>
      <c r="D142" s="24" t="s">
        <v>822</v>
      </c>
      <c r="E142" s="24" t="s">
        <v>823</v>
      </c>
      <c r="F142" s="24" t="s">
        <v>824</v>
      </c>
      <c r="G142" s="37" t="s">
        <v>825</v>
      </c>
      <c r="H142" s="24" t="s">
        <v>531</v>
      </c>
      <c r="I142" s="24" t="s">
        <v>515</v>
      </c>
      <c r="J142" s="24" t="s">
        <v>516</v>
      </c>
      <c r="K142" s="24" t="s">
        <v>517</v>
      </c>
      <c r="L142" s="26" t="s">
        <v>518</v>
      </c>
      <c r="M142" s="27" t="s">
        <v>520</v>
      </c>
      <c r="N142" s="28" t="e">
        <f>VLOOKUP(Table1[[#This Row],[ID TOKO]],Data_Aktual,4,FALSE)</f>
        <v>#N/A</v>
      </c>
      <c r="O142" s="29" t="s">
        <v>2855</v>
      </c>
      <c r="R142" s="5"/>
      <c r="S142" s="5"/>
    </row>
    <row r="143" spans="1:19" s="1" customFormat="1" ht="20.25" customHeight="1" x14ac:dyDescent="0.3">
      <c r="A143" s="1">
        <v>1</v>
      </c>
      <c r="B143" s="23">
        <v>137</v>
      </c>
      <c r="C143" s="24" t="s">
        <v>13</v>
      </c>
      <c r="D143" s="24" t="s">
        <v>826</v>
      </c>
      <c r="E143" s="24" t="s">
        <v>827</v>
      </c>
      <c r="F143" s="24" t="s">
        <v>828</v>
      </c>
      <c r="G143" s="37" t="s">
        <v>829</v>
      </c>
      <c r="H143" s="24" t="s">
        <v>830</v>
      </c>
      <c r="I143" s="24" t="s">
        <v>515</v>
      </c>
      <c r="J143" s="24" t="s">
        <v>291</v>
      </c>
      <c r="K143" s="24" t="s">
        <v>517</v>
      </c>
      <c r="L143" s="26" t="s">
        <v>575</v>
      </c>
      <c r="M143" s="27" t="s">
        <v>831</v>
      </c>
      <c r="N143" s="28" t="e">
        <f>VLOOKUP(Table1[[#This Row],[ID TOKO]],Data_Aktual,4,FALSE)</f>
        <v>#N/A</v>
      </c>
      <c r="O143" s="29" t="s">
        <v>2853</v>
      </c>
      <c r="R143" s="5"/>
      <c r="S143" s="5"/>
    </row>
    <row r="144" spans="1:19" s="1" customFormat="1" ht="20.25" customHeight="1" x14ac:dyDescent="0.3">
      <c r="A144" s="1">
        <v>1</v>
      </c>
      <c r="B144" s="23">
        <v>138</v>
      </c>
      <c r="C144" s="24" t="s">
        <v>13</v>
      </c>
      <c r="D144" s="24" t="s">
        <v>832</v>
      </c>
      <c r="E144" s="24" t="s">
        <v>833</v>
      </c>
      <c r="F144" s="24" t="s">
        <v>144</v>
      </c>
      <c r="G144" s="37" t="s">
        <v>834</v>
      </c>
      <c r="H144" s="24" t="s">
        <v>679</v>
      </c>
      <c r="I144" s="24" t="s">
        <v>515</v>
      </c>
      <c r="J144" s="24" t="s">
        <v>612</v>
      </c>
      <c r="K144" s="25" t="s">
        <v>517</v>
      </c>
      <c r="L144" s="26" t="s">
        <v>835</v>
      </c>
      <c r="M144" s="27" t="s">
        <v>836</v>
      </c>
      <c r="N144" s="28" t="e">
        <f>VLOOKUP(Table1[[#This Row],[ID TOKO]],Data_Aktual,4,FALSE)</f>
        <v>#N/A</v>
      </c>
      <c r="O144" s="29" t="s">
        <v>2852</v>
      </c>
      <c r="R144" s="5"/>
      <c r="S144" s="5"/>
    </row>
    <row r="145" spans="1:19" s="1" customFormat="1" ht="20.25" customHeight="1" x14ac:dyDescent="0.3">
      <c r="A145" s="1">
        <v>1</v>
      </c>
      <c r="B145" s="23">
        <v>139</v>
      </c>
      <c r="C145" s="24" t="s">
        <v>13</v>
      </c>
      <c r="D145" s="24" t="s">
        <v>837</v>
      </c>
      <c r="E145" s="24" t="s">
        <v>838</v>
      </c>
      <c r="F145" s="24" t="s">
        <v>839</v>
      </c>
      <c r="G145" s="25" t="s">
        <v>840</v>
      </c>
      <c r="H145" s="24" t="s">
        <v>514</v>
      </c>
      <c r="I145" s="24" t="s">
        <v>515</v>
      </c>
      <c r="J145" s="24" t="s">
        <v>516</v>
      </c>
      <c r="K145" s="25" t="s">
        <v>517</v>
      </c>
      <c r="L145" s="26" t="s">
        <v>841</v>
      </c>
      <c r="M145" s="27" t="s">
        <v>842</v>
      </c>
      <c r="N145" s="28" t="e">
        <f>VLOOKUP(Table1[[#This Row],[ID TOKO]],Data_Aktual,4,FALSE)</f>
        <v>#N/A</v>
      </c>
      <c r="O145" s="29" t="s">
        <v>2850</v>
      </c>
      <c r="R145" s="5"/>
      <c r="S145" s="5"/>
    </row>
    <row r="146" spans="1:19" s="1" customFormat="1" ht="20.25" customHeight="1" x14ac:dyDescent="0.3">
      <c r="A146" s="1">
        <v>1</v>
      </c>
      <c r="B146" s="23">
        <v>140</v>
      </c>
      <c r="C146" s="24" t="s">
        <v>13</v>
      </c>
      <c r="D146" s="24" t="s">
        <v>843</v>
      </c>
      <c r="E146" s="24" t="s">
        <v>844</v>
      </c>
      <c r="F146" s="24" t="s">
        <v>845</v>
      </c>
      <c r="G146" s="25" t="s">
        <v>846</v>
      </c>
      <c r="H146" s="24" t="s">
        <v>686</v>
      </c>
      <c r="I146" s="24" t="s">
        <v>515</v>
      </c>
      <c r="J146" s="24" t="s">
        <v>612</v>
      </c>
      <c r="K146" s="24" t="s">
        <v>517</v>
      </c>
      <c r="L146" s="26" t="s">
        <v>687</v>
      </c>
      <c r="M146" s="27" t="s">
        <v>847</v>
      </c>
      <c r="N146" s="28" t="e">
        <f>VLOOKUP(Table1[[#This Row],[ID TOKO]],Data_Aktual,4,FALSE)</f>
        <v>#N/A</v>
      </c>
      <c r="O146" s="29" t="s">
        <v>2848</v>
      </c>
      <c r="R146" s="5"/>
      <c r="S146" s="5"/>
    </row>
    <row r="147" spans="1:19" s="1" customFormat="1" ht="20.25" customHeight="1" x14ac:dyDescent="0.25">
      <c r="A147" s="1">
        <v>1</v>
      </c>
      <c r="B147" s="23">
        <v>141</v>
      </c>
      <c r="C147" s="24" t="s">
        <v>13</v>
      </c>
      <c r="D147" s="24" t="s">
        <v>848</v>
      </c>
      <c r="E147" s="24" t="s">
        <v>849</v>
      </c>
      <c r="F147" s="24" t="s">
        <v>850</v>
      </c>
      <c r="G147" s="25" t="s">
        <v>851</v>
      </c>
      <c r="H147" s="24" t="s">
        <v>582</v>
      </c>
      <c r="I147" s="24" t="s">
        <v>515</v>
      </c>
      <c r="J147" s="24" t="s">
        <v>291</v>
      </c>
      <c r="K147" s="24" t="s">
        <v>517</v>
      </c>
      <c r="L147" s="26" t="s">
        <v>852</v>
      </c>
      <c r="M147" s="36"/>
      <c r="N147" s="28" t="e">
        <f>VLOOKUP(Table1[[#This Row],[ID TOKO]],Data_Aktual,4,FALSE)</f>
        <v>#N/A</v>
      </c>
      <c r="O147" s="29" t="s">
        <v>2846</v>
      </c>
      <c r="R147" s="5"/>
      <c r="S147" s="5"/>
    </row>
    <row r="148" spans="1:19" s="1" customFormat="1" ht="20.25" customHeight="1" x14ac:dyDescent="0.25">
      <c r="A148" s="1">
        <v>1</v>
      </c>
      <c r="B148" s="23">
        <v>142</v>
      </c>
      <c r="C148" s="24" t="s">
        <v>13</v>
      </c>
      <c r="D148" s="24" t="s">
        <v>853</v>
      </c>
      <c r="E148" s="24" t="s">
        <v>854</v>
      </c>
      <c r="F148" s="24" t="s">
        <v>855</v>
      </c>
      <c r="G148" s="25" t="s">
        <v>856</v>
      </c>
      <c r="H148" s="24" t="s">
        <v>582</v>
      </c>
      <c r="I148" s="24" t="s">
        <v>515</v>
      </c>
      <c r="J148" s="24" t="s">
        <v>291</v>
      </c>
      <c r="K148" s="24" t="s">
        <v>517</v>
      </c>
      <c r="L148" s="26" t="s">
        <v>857</v>
      </c>
      <c r="M148" s="36"/>
      <c r="N148" s="28" t="e">
        <f>VLOOKUP(Table1[[#This Row],[ID TOKO]],Data_Aktual,4,FALSE)</f>
        <v>#N/A</v>
      </c>
      <c r="O148" s="29" t="s">
        <v>2455</v>
      </c>
      <c r="R148" s="5"/>
      <c r="S148" s="5"/>
    </row>
    <row r="149" spans="1:19" s="1" customFormat="1" ht="20.25" customHeight="1" x14ac:dyDescent="0.25">
      <c r="A149" s="1">
        <v>1</v>
      </c>
      <c r="B149" s="23">
        <v>143</v>
      </c>
      <c r="C149" s="24" t="s">
        <v>13</v>
      </c>
      <c r="D149" s="24" t="s">
        <v>858</v>
      </c>
      <c r="E149" s="24" t="s">
        <v>859</v>
      </c>
      <c r="F149" s="24" t="s">
        <v>721</v>
      </c>
      <c r="G149" s="25" t="s">
        <v>860</v>
      </c>
      <c r="H149" s="24" t="s">
        <v>514</v>
      </c>
      <c r="I149" s="24" t="s">
        <v>515</v>
      </c>
      <c r="J149" s="24" t="s">
        <v>516</v>
      </c>
      <c r="K149" s="24" t="s">
        <v>517</v>
      </c>
      <c r="L149" s="26" t="s">
        <v>861</v>
      </c>
      <c r="M149" s="36"/>
      <c r="N149" s="28" t="e">
        <f>VLOOKUP(Table1[[#This Row],[ID TOKO]],Data_Aktual,4,FALSE)</f>
        <v>#N/A</v>
      </c>
      <c r="O149" s="29" t="s">
        <v>2433</v>
      </c>
      <c r="R149" s="5"/>
      <c r="S149" s="5"/>
    </row>
    <row r="150" spans="1:19" s="1" customFormat="1" ht="20.25" customHeight="1" x14ac:dyDescent="0.25">
      <c r="A150" s="1">
        <v>1</v>
      </c>
      <c r="B150" s="23">
        <v>144</v>
      </c>
      <c r="C150" s="24" t="s">
        <v>13</v>
      </c>
      <c r="D150" s="24" t="s">
        <v>862</v>
      </c>
      <c r="E150" s="24" t="s">
        <v>863</v>
      </c>
      <c r="F150" s="24" t="s">
        <v>864</v>
      </c>
      <c r="G150" s="25" t="s">
        <v>865</v>
      </c>
      <c r="H150" s="24" t="s">
        <v>531</v>
      </c>
      <c r="I150" s="24" t="s">
        <v>515</v>
      </c>
      <c r="J150" s="24" t="s">
        <v>516</v>
      </c>
      <c r="K150" s="24" t="s">
        <v>517</v>
      </c>
      <c r="L150" s="26" t="s">
        <v>866</v>
      </c>
      <c r="M150" s="36"/>
      <c r="N150" s="28" t="e">
        <f>VLOOKUP(Table1[[#This Row],[ID TOKO]],Data_Aktual,4,FALSE)</f>
        <v>#N/A</v>
      </c>
      <c r="O150" s="29" t="s">
        <v>2425</v>
      </c>
      <c r="R150" s="5"/>
      <c r="S150" s="5"/>
    </row>
    <row r="151" spans="1:19" s="1" customFormat="1" ht="20.25" customHeight="1" x14ac:dyDescent="0.25">
      <c r="A151" s="1">
        <v>1</v>
      </c>
      <c r="B151" s="23">
        <v>145</v>
      </c>
      <c r="C151" s="24" t="s">
        <v>13</v>
      </c>
      <c r="D151" s="24" t="s">
        <v>867</v>
      </c>
      <c r="E151" s="24" t="s">
        <v>868</v>
      </c>
      <c r="F151" s="24" t="s">
        <v>869</v>
      </c>
      <c r="G151" s="25" t="s">
        <v>870</v>
      </c>
      <c r="H151" s="24" t="s">
        <v>672</v>
      </c>
      <c r="I151" s="24" t="s">
        <v>515</v>
      </c>
      <c r="J151" s="24" t="s">
        <v>612</v>
      </c>
      <c r="K151" s="24" t="s">
        <v>517</v>
      </c>
      <c r="L151" s="26"/>
      <c r="M151" s="36"/>
      <c r="N151" s="28" t="e">
        <f>VLOOKUP(Table1[[#This Row],[ID TOKO]],Data_Aktual,4,FALSE)</f>
        <v>#N/A</v>
      </c>
      <c r="O151" s="29" t="s">
        <v>2421</v>
      </c>
      <c r="R151" s="5"/>
      <c r="S151" s="5"/>
    </row>
    <row r="152" spans="1:19" s="1" customFormat="1" ht="20.25" customHeight="1" x14ac:dyDescent="0.25">
      <c r="A152" s="1">
        <v>1</v>
      </c>
      <c r="B152" s="23">
        <v>146</v>
      </c>
      <c r="C152" s="24" t="s">
        <v>13</v>
      </c>
      <c r="D152" s="24" t="s">
        <v>871</v>
      </c>
      <c r="E152" s="24" t="s">
        <v>872</v>
      </c>
      <c r="F152" s="24" t="s">
        <v>839</v>
      </c>
      <c r="G152" s="25" t="s">
        <v>873</v>
      </c>
      <c r="H152" s="24" t="s">
        <v>514</v>
      </c>
      <c r="I152" s="24" t="s">
        <v>515</v>
      </c>
      <c r="J152" s="24" t="s">
        <v>516</v>
      </c>
      <c r="K152" s="24" t="s">
        <v>517</v>
      </c>
      <c r="L152" s="26"/>
      <c r="M152" s="30"/>
      <c r="N152" s="28" t="e">
        <f>VLOOKUP(Table1[[#This Row],[ID TOKO]],Data_Aktual,4,FALSE)</f>
        <v>#N/A</v>
      </c>
      <c r="O152" s="29" t="s">
        <v>2400</v>
      </c>
      <c r="R152" s="5"/>
      <c r="S152" s="5"/>
    </row>
    <row r="153" spans="1:19" s="1" customFormat="1" ht="20.25" customHeight="1" x14ac:dyDescent="0.25">
      <c r="A153" s="1">
        <v>1</v>
      </c>
      <c r="B153" s="23">
        <v>147</v>
      </c>
      <c r="C153" s="24" t="s">
        <v>13</v>
      </c>
      <c r="D153" s="24" t="s">
        <v>874</v>
      </c>
      <c r="E153" s="24" t="s">
        <v>875</v>
      </c>
      <c r="F153" s="24" t="s">
        <v>876</v>
      </c>
      <c r="G153" s="25" t="s">
        <v>877</v>
      </c>
      <c r="H153" s="24" t="s">
        <v>643</v>
      </c>
      <c r="I153" s="24" t="s">
        <v>515</v>
      </c>
      <c r="J153" s="24" t="s">
        <v>291</v>
      </c>
      <c r="K153" s="24" t="s">
        <v>517</v>
      </c>
      <c r="L153" s="26" t="s">
        <v>878</v>
      </c>
      <c r="M153" s="30"/>
      <c r="N153" s="28" t="e">
        <f>VLOOKUP(Table1[[#This Row],[ID TOKO]],Data_Aktual,4,FALSE)</f>
        <v>#N/A</v>
      </c>
      <c r="O153" s="29" t="s">
        <v>2390</v>
      </c>
      <c r="R153" s="5"/>
      <c r="S153" s="5"/>
    </row>
    <row r="154" spans="1:19" s="1" customFormat="1" ht="20.25" customHeight="1" x14ac:dyDescent="0.25">
      <c r="A154" s="1">
        <v>1</v>
      </c>
      <c r="B154" s="23">
        <v>148</v>
      </c>
      <c r="C154" s="24" t="s">
        <v>13</v>
      </c>
      <c r="D154" s="24" t="s">
        <v>879</v>
      </c>
      <c r="E154" s="24"/>
      <c r="F154" s="24" t="s">
        <v>880</v>
      </c>
      <c r="G154" s="25" t="s">
        <v>881</v>
      </c>
      <c r="H154" s="24" t="s">
        <v>588</v>
      </c>
      <c r="I154" s="24" t="s">
        <v>515</v>
      </c>
      <c r="J154" s="24" t="s">
        <v>291</v>
      </c>
      <c r="K154" s="24" t="s">
        <v>517</v>
      </c>
      <c r="L154" s="38" t="s">
        <v>882</v>
      </c>
      <c r="M154" s="30"/>
      <c r="N154" s="28" t="e">
        <f>VLOOKUP(Table1[[#This Row],[ID TOKO]],Data_Aktual,4,FALSE)</f>
        <v>#N/A</v>
      </c>
      <c r="O154" s="32" t="s">
        <v>3119</v>
      </c>
      <c r="R154" s="5"/>
      <c r="S154" s="5"/>
    </row>
    <row r="155" spans="1:19" s="1" customFormat="1" ht="20.25" customHeight="1" x14ac:dyDescent="0.25">
      <c r="A155" s="1">
        <v>1</v>
      </c>
      <c r="B155" s="23">
        <v>149</v>
      </c>
      <c r="C155" s="24" t="s">
        <v>13</v>
      </c>
      <c r="D155" s="24" t="s">
        <v>883</v>
      </c>
      <c r="E155" s="24"/>
      <c r="F155" s="24" t="s">
        <v>884</v>
      </c>
      <c r="G155" s="25" t="s">
        <v>885</v>
      </c>
      <c r="H155" s="24" t="s">
        <v>525</v>
      </c>
      <c r="I155" s="24" t="s">
        <v>515</v>
      </c>
      <c r="J155" s="24" t="s">
        <v>291</v>
      </c>
      <c r="K155" s="24" t="s">
        <v>517</v>
      </c>
      <c r="L155" s="26"/>
      <c r="M155" s="30"/>
      <c r="N155" s="28" t="e">
        <f>VLOOKUP(Table1[[#This Row],[ID TOKO]],Data_Aktual,4,FALSE)</f>
        <v>#N/A</v>
      </c>
      <c r="O155" s="32" t="s">
        <v>3120</v>
      </c>
      <c r="R155" s="5"/>
      <c r="S155" s="5"/>
    </row>
    <row r="156" spans="1:19" s="1" customFormat="1" ht="20.25" customHeight="1" x14ac:dyDescent="0.25">
      <c r="A156" s="1">
        <v>1</v>
      </c>
      <c r="B156" s="23">
        <v>150</v>
      </c>
      <c r="C156" s="24" t="s">
        <v>13</v>
      </c>
      <c r="D156" s="24" t="s">
        <v>886</v>
      </c>
      <c r="E156" s="24"/>
      <c r="F156" s="24" t="s">
        <v>887</v>
      </c>
      <c r="G156" s="25" t="s">
        <v>888</v>
      </c>
      <c r="H156" s="24" t="s">
        <v>672</v>
      </c>
      <c r="I156" s="24" t="s">
        <v>515</v>
      </c>
      <c r="J156" s="24" t="s">
        <v>612</v>
      </c>
      <c r="K156" s="24" t="s">
        <v>517</v>
      </c>
      <c r="L156" s="26"/>
      <c r="M156" s="30"/>
      <c r="N156" s="28" t="e">
        <f>VLOOKUP(Table1[[#This Row],[ID TOKO]],Data_Aktual,4,FALSE)</f>
        <v>#N/A</v>
      </c>
      <c r="O156" s="29" t="s">
        <v>3121</v>
      </c>
      <c r="R156" s="5"/>
      <c r="S156" s="5"/>
    </row>
    <row r="157" spans="1:19" s="1" customFormat="1" ht="20.25" customHeight="1" x14ac:dyDescent="0.3">
      <c r="A157" s="1">
        <v>1</v>
      </c>
      <c r="B157" s="23">
        <v>151</v>
      </c>
      <c r="C157" s="24" t="s">
        <v>13</v>
      </c>
      <c r="D157" s="24" t="s">
        <v>889</v>
      </c>
      <c r="E157" s="24" t="s">
        <v>890</v>
      </c>
      <c r="F157" s="24" t="s">
        <v>891</v>
      </c>
      <c r="G157" s="25" t="s">
        <v>892</v>
      </c>
      <c r="H157" s="24" t="s">
        <v>893</v>
      </c>
      <c r="I157" s="24" t="s">
        <v>19</v>
      </c>
      <c r="J157" s="24" t="s">
        <v>893</v>
      </c>
      <c r="K157" s="24" t="s">
        <v>893</v>
      </c>
      <c r="L157" s="26" t="s">
        <v>894</v>
      </c>
      <c r="M157" s="27" t="s">
        <v>895</v>
      </c>
      <c r="N157" s="28" t="e">
        <f>VLOOKUP(Table1[[#This Row],[ID TOKO]],Data_Aktual,4,FALSE)</f>
        <v>#N/A</v>
      </c>
      <c r="O157" s="29" t="s">
        <v>2844</v>
      </c>
      <c r="R157" s="5"/>
      <c r="S157" s="5"/>
    </row>
    <row r="158" spans="1:19" s="1" customFormat="1" ht="20.25" customHeight="1" x14ac:dyDescent="0.3">
      <c r="A158" s="1">
        <v>1</v>
      </c>
      <c r="B158" s="23">
        <v>152</v>
      </c>
      <c r="C158" s="24" t="s">
        <v>13</v>
      </c>
      <c r="D158" s="24" t="s">
        <v>896</v>
      </c>
      <c r="E158" s="24" t="s">
        <v>897</v>
      </c>
      <c r="F158" s="24" t="s">
        <v>898</v>
      </c>
      <c r="G158" s="25" t="s">
        <v>899</v>
      </c>
      <c r="H158" s="24" t="s">
        <v>893</v>
      </c>
      <c r="I158" s="24" t="s">
        <v>19</v>
      </c>
      <c r="J158" s="24" t="s">
        <v>893</v>
      </c>
      <c r="K158" s="24" t="s">
        <v>893</v>
      </c>
      <c r="L158" s="26" t="s">
        <v>900</v>
      </c>
      <c r="M158" s="27" t="s">
        <v>901</v>
      </c>
      <c r="N158" s="28" t="e">
        <f>VLOOKUP(Table1[[#This Row],[ID TOKO]],Data_Aktual,4,FALSE)</f>
        <v>#N/A</v>
      </c>
      <c r="O158" s="29" t="s">
        <v>2842</v>
      </c>
      <c r="R158" s="5"/>
      <c r="S158" s="5"/>
    </row>
    <row r="159" spans="1:19" s="1" customFormat="1" ht="20.25" customHeight="1" x14ac:dyDescent="0.3">
      <c r="A159" s="1">
        <v>1</v>
      </c>
      <c r="B159" s="23">
        <v>153</v>
      </c>
      <c r="C159" s="24" t="s">
        <v>13</v>
      </c>
      <c r="D159" s="24" t="s">
        <v>902</v>
      </c>
      <c r="E159" s="24" t="s">
        <v>903</v>
      </c>
      <c r="F159" s="24" t="s">
        <v>904</v>
      </c>
      <c r="G159" s="25" t="s">
        <v>905</v>
      </c>
      <c r="H159" s="24" t="s">
        <v>893</v>
      </c>
      <c r="I159" s="24" t="s">
        <v>19</v>
      </c>
      <c r="J159" s="24" t="s">
        <v>893</v>
      </c>
      <c r="K159" s="24" t="s">
        <v>893</v>
      </c>
      <c r="L159" s="26" t="s">
        <v>906</v>
      </c>
      <c r="M159" s="27" t="s">
        <v>907</v>
      </c>
      <c r="N159" s="28" t="e">
        <f>VLOOKUP(Table1[[#This Row],[ID TOKO]],Data_Aktual,4,FALSE)</f>
        <v>#N/A</v>
      </c>
      <c r="O159" s="29" t="s">
        <v>2840</v>
      </c>
      <c r="R159" s="5"/>
      <c r="S159" s="5"/>
    </row>
    <row r="160" spans="1:19" s="1" customFormat="1" ht="20.25" customHeight="1" x14ac:dyDescent="0.3">
      <c r="A160" s="1">
        <v>1</v>
      </c>
      <c r="B160" s="23">
        <v>154</v>
      </c>
      <c r="C160" s="24" t="s">
        <v>13</v>
      </c>
      <c r="D160" s="24" t="s">
        <v>908</v>
      </c>
      <c r="E160" s="24" t="s">
        <v>909</v>
      </c>
      <c r="F160" s="24" t="s">
        <v>50</v>
      </c>
      <c r="G160" s="25" t="s">
        <v>910</v>
      </c>
      <c r="H160" s="24" t="s">
        <v>893</v>
      </c>
      <c r="I160" s="24" t="s">
        <v>19</v>
      </c>
      <c r="J160" s="24" t="s">
        <v>893</v>
      </c>
      <c r="K160" s="24" t="s">
        <v>893</v>
      </c>
      <c r="L160" s="26" t="s">
        <v>911</v>
      </c>
      <c r="M160" s="27" t="s">
        <v>912</v>
      </c>
      <c r="N160" s="28" t="e">
        <f>VLOOKUP(Table1[[#This Row],[ID TOKO]],Data_Aktual,4,FALSE)</f>
        <v>#N/A</v>
      </c>
      <c r="O160" s="29" t="s">
        <v>2838</v>
      </c>
      <c r="R160" s="5"/>
      <c r="S160" s="5"/>
    </row>
    <row r="161" spans="1:19" s="1" customFormat="1" ht="20.25" customHeight="1" x14ac:dyDescent="0.3">
      <c r="A161" s="1">
        <v>1</v>
      </c>
      <c r="B161" s="23">
        <v>155</v>
      </c>
      <c r="C161" s="24" t="s">
        <v>13</v>
      </c>
      <c r="D161" s="24" t="s">
        <v>913</v>
      </c>
      <c r="E161" s="24" t="s">
        <v>914</v>
      </c>
      <c r="F161" s="24" t="s">
        <v>915</v>
      </c>
      <c r="G161" s="25" t="s">
        <v>916</v>
      </c>
      <c r="H161" s="24" t="s">
        <v>917</v>
      </c>
      <c r="I161" s="24" t="s">
        <v>918</v>
      </c>
      <c r="J161" s="24" t="s">
        <v>919</v>
      </c>
      <c r="K161" s="24" t="s">
        <v>919</v>
      </c>
      <c r="L161" s="26" t="s">
        <v>920</v>
      </c>
      <c r="M161" s="27" t="s">
        <v>921</v>
      </c>
      <c r="N161" s="28" t="e">
        <f>VLOOKUP(Table1[[#This Row],[ID TOKO]],Data_Aktual,4,FALSE)</f>
        <v>#N/A</v>
      </c>
      <c r="O161" s="29" t="s">
        <v>2837</v>
      </c>
      <c r="R161" s="5"/>
      <c r="S161" s="5"/>
    </row>
    <row r="162" spans="1:19" s="1" customFormat="1" ht="20.25" customHeight="1" x14ac:dyDescent="0.3">
      <c r="A162" s="1">
        <v>1</v>
      </c>
      <c r="B162" s="23">
        <v>156</v>
      </c>
      <c r="C162" s="24" t="s">
        <v>13</v>
      </c>
      <c r="D162" s="24" t="s">
        <v>922</v>
      </c>
      <c r="E162" s="24" t="s">
        <v>923</v>
      </c>
      <c r="F162" s="24" t="s">
        <v>924</v>
      </c>
      <c r="G162" s="25" t="s">
        <v>925</v>
      </c>
      <c r="H162" s="24" t="s">
        <v>926</v>
      </c>
      <c r="I162" s="24" t="s">
        <v>918</v>
      </c>
      <c r="J162" s="24" t="s">
        <v>919</v>
      </c>
      <c r="K162" s="24" t="s">
        <v>919</v>
      </c>
      <c r="L162" s="26" t="s">
        <v>927</v>
      </c>
      <c r="M162" s="27" t="s">
        <v>928</v>
      </c>
      <c r="N162" s="28" t="e">
        <f>VLOOKUP(Table1[[#This Row],[ID TOKO]],Data_Aktual,4,FALSE)</f>
        <v>#N/A</v>
      </c>
      <c r="O162" s="29" t="s">
        <v>2558</v>
      </c>
      <c r="R162" s="5"/>
      <c r="S162" s="5"/>
    </row>
    <row r="163" spans="1:19" s="1" customFormat="1" ht="20.25" customHeight="1" x14ac:dyDescent="0.3">
      <c r="A163" s="1">
        <v>1</v>
      </c>
      <c r="B163" s="23">
        <v>157</v>
      </c>
      <c r="C163" s="24" t="s">
        <v>13</v>
      </c>
      <c r="D163" s="24" t="s">
        <v>929</v>
      </c>
      <c r="E163" s="24" t="s">
        <v>930</v>
      </c>
      <c r="F163" s="24" t="s">
        <v>931</v>
      </c>
      <c r="G163" s="25" t="s">
        <v>932</v>
      </c>
      <c r="H163" s="24" t="s">
        <v>933</v>
      </c>
      <c r="I163" s="24" t="s">
        <v>918</v>
      </c>
      <c r="J163" s="24" t="s">
        <v>919</v>
      </c>
      <c r="K163" s="24" t="s">
        <v>919</v>
      </c>
      <c r="L163" s="26" t="s">
        <v>934</v>
      </c>
      <c r="M163" s="27" t="s">
        <v>935</v>
      </c>
      <c r="N163" s="28" t="e">
        <f>VLOOKUP(Table1[[#This Row],[ID TOKO]],Data_Aktual,4,FALSE)</f>
        <v>#N/A</v>
      </c>
      <c r="O163" s="29" t="s">
        <v>2835</v>
      </c>
      <c r="R163" s="5"/>
      <c r="S163" s="5"/>
    </row>
    <row r="164" spans="1:19" s="1" customFormat="1" ht="20.25" customHeight="1" x14ac:dyDescent="0.3">
      <c r="A164" s="1">
        <v>1</v>
      </c>
      <c r="B164" s="23">
        <v>158</v>
      </c>
      <c r="C164" s="24" t="s">
        <v>13</v>
      </c>
      <c r="D164" s="24" t="s">
        <v>936</v>
      </c>
      <c r="E164" s="24" t="s">
        <v>937</v>
      </c>
      <c r="F164" s="24" t="s">
        <v>938</v>
      </c>
      <c r="G164" s="25" t="s">
        <v>939</v>
      </c>
      <c r="H164" s="24" t="s">
        <v>940</v>
      </c>
      <c r="I164" s="24" t="s">
        <v>918</v>
      </c>
      <c r="J164" s="24" t="s">
        <v>919</v>
      </c>
      <c r="K164" s="24" t="s">
        <v>919</v>
      </c>
      <c r="L164" s="26" t="s">
        <v>941</v>
      </c>
      <c r="M164" s="27" t="s">
        <v>942</v>
      </c>
      <c r="N164" s="28" t="e">
        <f>VLOOKUP(Table1[[#This Row],[ID TOKO]],Data_Aktual,4,FALSE)</f>
        <v>#N/A</v>
      </c>
      <c r="O164" s="29" t="s">
        <v>2833</v>
      </c>
      <c r="R164" s="5"/>
      <c r="S164" s="5"/>
    </row>
    <row r="165" spans="1:19" s="1" customFormat="1" ht="20.25" customHeight="1" x14ac:dyDescent="0.3">
      <c r="A165" s="1">
        <v>1</v>
      </c>
      <c r="B165" s="23">
        <v>159</v>
      </c>
      <c r="C165" s="24" t="s">
        <v>13</v>
      </c>
      <c r="D165" s="24" t="s">
        <v>943</v>
      </c>
      <c r="E165" s="24" t="s">
        <v>944</v>
      </c>
      <c r="F165" s="24" t="s">
        <v>945</v>
      </c>
      <c r="G165" s="33" t="s">
        <v>946</v>
      </c>
      <c r="H165" s="24" t="s">
        <v>933</v>
      </c>
      <c r="I165" s="24" t="s">
        <v>918</v>
      </c>
      <c r="J165" s="24" t="s">
        <v>919</v>
      </c>
      <c r="K165" s="24" t="s">
        <v>919</v>
      </c>
      <c r="L165" s="26"/>
      <c r="M165" s="27" t="s">
        <v>935</v>
      </c>
      <c r="N165" s="28" t="e">
        <f>VLOOKUP(Table1[[#This Row],[ID TOKO]],Data_Aktual,4,FALSE)</f>
        <v>#N/A</v>
      </c>
      <c r="O165" s="29" t="s">
        <v>2831</v>
      </c>
      <c r="R165" s="5"/>
      <c r="S165" s="5"/>
    </row>
    <row r="166" spans="1:19" s="1" customFormat="1" ht="20.25" customHeight="1" x14ac:dyDescent="0.3">
      <c r="A166" s="1">
        <v>1</v>
      </c>
      <c r="B166" s="23">
        <v>160</v>
      </c>
      <c r="C166" s="24" t="s">
        <v>13</v>
      </c>
      <c r="D166" s="24" t="s">
        <v>947</v>
      </c>
      <c r="E166" s="24" t="s">
        <v>948</v>
      </c>
      <c r="F166" s="24" t="s">
        <v>949</v>
      </c>
      <c r="G166" s="25" t="s">
        <v>950</v>
      </c>
      <c r="H166" s="24" t="s">
        <v>951</v>
      </c>
      <c r="I166" s="24" t="s">
        <v>918</v>
      </c>
      <c r="J166" s="24" t="s">
        <v>919</v>
      </c>
      <c r="K166" s="24" t="s">
        <v>919</v>
      </c>
      <c r="L166" s="26" t="s">
        <v>952</v>
      </c>
      <c r="M166" s="27" t="s">
        <v>953</v>
      </c>
      <c r="N166" s="28" t="e">
        <f>VLOOKUP(Table1[[#This Row],[ID TOKO]],Data_Aktual,4,FALSE)</f>
        <v>#N/A</v>
      </c>
      <c r="O166" s="29" t="s">
        <v>2830</v>
      </c>
      <c r="R166" s="5"/>
      <c r="S166" s="5"/>
    </row>
    <row r="167" spans="1:19" s="1" customFormat="1" ht="20.25" customHeight="1" x14ac:dyDescent="0.3">
      <c r="A167" s="1">
        <v>1</v>
      </c>
      <c r="B167" s="23">
        <v>161</v>
      </c>
      <c r="C167" s="24" t="s">
        <v>13</v>
      </c>
      <c r="D167" s="24" t="s">
        <v>954</v>
      </c>
      <c r="E167" s="24" t="s">
        <v>955</v>
      </c>
      <c r="F167" s="24" t="s">
        <v>949</v>
      </c>
      <c r="G167" s="25" t="s">
        <v>956</v>
      </c>
      <c r="H167" s="24" t="s">
        <v>926</v>
      </c>
      <c r="I167" s="24" t="s">
        <v>918</v>
      </c>
      <c r="J167" s="24" t="s">
        <v>919</v>
      </c>
      <c r="K167" s="24" t="s">
        <v>919</v>
      </c>
      <c r="L167" s="26" t="s">
        <v>957</v>
      </c>
      <c r="M167" s="27" t="s">
        <v>958</v>
      </c>
      <c r="N167" s="28" t="e">
        <f>VLOOKUP(Table1[[#This Row],[ID TOKO]],Data_Aktual,4,FALSE)</f>
        <v>#N/A</v>
      </c>
      <c r="O167" s="29" t="s">
        <v>2829</v>
      </c>
      <c r="R167" s="5"/>
      <c r="S167" s="5"/>
    </row>
    <row r="168" spans="1:19" s="1" customFormat="1" ht="20.25" customHeight="1" x14ac:dyDescent="0.3">
      <c r="A168" s="1">
        <v>1</v>
      </c>
      <c r="B168" s="23">
        <v>162</v>
      </c>
      <c r="C168" s="24" t="s">
        <v>13</v>
      </c>
      <c r="D168" s="24" t="s">
        <v>959</v>
      </c>
      <c r="E168" s="24" t="s">
        <v>960</v>
      </c>
      <c r="F168" s="24" t="s">
        <v>961</v>
      </c>
      <c r="G168" s="25" t="s">
        <v>962</v>
      </c>
      <c r="H168" s="24" t="s">
        <v>963</v>
      </c>
      <c r="I168" s="24" t="s">
        <v>918</v>
      </c>
      <c r="J168" s="24" t="s">
        <v>919</v>
      </c>
      <c r="K168" s="24" t="s">
        <v>919</v>
      </c>
      <c r="L168" s="26" t="s">
        <v>964</v>
      </c>
      <c r="M168" s="27" t="s">
        <v>965</v>
      </c>
      <c r="N168" s="28" t="e">
        <f>VLOOKUP(Table1[[#This Row],[ID TOKO]],Data_Aktual,4,FALSE)</f>
        <v>#N/A</v>
      </c>
      <c r="O168" s="29" t="s">
        <v>2827</v>
      </c>
      <c r="R168" s="5"/>
      <c r="S168" s="5"/>
    </row>
    <row r="169" spans="1:19" s="1" customFormat="1" ht="20.25" customHeight="1" x14ac:dyDescent="0.25">
      <c r="A169" s="1">
        <v>1</v>
      </c>
      <c r="B169" s="23">
        <v>163</v>
      </c>
      <c r="C169" s="24" t="s">
        <v>13</v>
      </c>
      <c r="D169" s="24" t="s">
        <v>966</v>
      </c>
      <c r="E169" s="24" t="s">
        <v>967</v>
      </c>
      <c r="F169" s="24" t="s">
        <v>641</v>
      </c>
      <c r="G169" s="30" t="s">
        <v>968</v>
      </c>
      <c r="H169" s="24" t="s">
        <v>969</v>
      </c>
      <c r="I169" s="24" t="s">
        <v>918</v>
      </c>
      <c r="J169" s="24" t="s">
        <v>919</v>
      </c>
      <c r="K169" s="30" t="s">
        <v>919</v>
      </c>
      <c r="L169" s="26" t="s">
        <v>970</v>
      </c>
      <c r="M169" s="25"/>
      <c r="N169" s="28" t="e">
        <f>VLOOKUP(Table1[[#This Row],[ID TOKO]],Data_Aktual,4,FALSE)</f>
        <v>#N/A</v>
      </c>
      <c r="O169" s="29" t="s">
        <v>2825</v>
      </c>
      <c r="R169" s="5"/>
      <c r="S169" s="5"/>
    </row>
    <row r="170" spans="1:19" s="1" customFormat="1" ht="20.25" customHeight="1" x14ac:dyDescent="0.3">
      <c r="A170" s="1">
        <v>1</v>
      </c>
      <c r="B170" s="23">
        <v>164</v>
      </c>
      <c r="C170" s="24" t="s">
        <v>13</v>
      </c>
      <c r="D170" s="24" t="s">
        <v>971</v>
      </c>
      <c r="E170" s="24" t="s">
        <v>972</v>
      </c>
      <c r="F170" s="24" t="s">
        <v>973</v>
      </c>
      <c r="G170" s="25" t="s">
        <v>974</v>
      </c>
      <c r="H170" s="24" t="s">
        <v>975</v>
      </c>
      <c r="I170" s="24" t="s">
        <v>918</v>
      </c>
      <c r="J170" s="24" t="s">
        <v>976</v>
      </c>
      <c r="K170" s="24" t="s">
        <v>919</v>
      </c>
      <c r="L170" s="26" t="s">
        <v>977</v>
      </c>
      <c r="M170" s="27" t="s">
        <v>978</v>
      </c>
      <c r="N170" s="28" t="e">
        <f>VLOOKUP(Table1[[#This Row],[ID TOKO]],Data_Aktual,4,FALSE)</f>
        <v>#N/A</v>
      </c>
      <c r="O170" s="29" t="s">
        <v>2823</v>
      </c>
      <c r="R170" s="5"/>
      <c r="S170" s="5"/>
    </row>
    <row r="171" spans="1:19" s="1" customFormat="1" ht="20.25" customHeight="1" x14ac:dyDescent="0.25">
      <c r="A171" s="1">
        <v>1</v>
      </c>
      <c r="B171" s="23">
        <v>165</v>
      </c>
      <c r="C171" s="24" t="s">
        <v>13</v>
      </c>
      <c r="D171" s="24" t="s">
        <v>979</v>
      </c>
      <c r="E171" s="24" t="s">
        <v>980</v>
      </c>
      <c r="F171" s="24" t="s">
        <v>981</v>
      </c>
      <c r="G171" s="25" t="s">
        <v>982</v>
      </c>
      <c r="H171" s="24" t="s">
        <v>983</v>
      </c>
      <c r="I171" s="24" t="s">
        <v>918</v>
      </c>
      <c r="J171" s="24" t="s">
        <v>919</v>
      </c>
      <c r="K171" s="24" t="s">
        <v>919</v>
      </c>
      <c r="L171" s="26" t="s">
        <v>984</v>
      </c>
      <c r="M171" s="25"/>
      <c r="N171" s="28" t="e">
        <f>VLOOKUP(Table1[[#This Row],[ID TOKO]],Data_Aktual,4,FALSE)</f>
        <v>#N/A</v>
      </c>
      <c r="O171" s="29" t="s">
        <v>2821</v>
      </c>
      <c r="R171" s="5"/>
      <c r="S171" s="5"/>
    </row>
    <row r="172" spans="1:19" s="1" customFormat="1" ht="20.25" customHeight="1" x14ac:dyDescent="0.25">
      <c r="A172" s="1">
        <v>1</v>
      </c>
      <c r="B172" s="23">
        <v>166</v>
      </c>
      <c r="C172" s="24" t="s">
        <v>13</v>
      </c>
      <c r="D172" s="24" t="s">
        <v>985</v>
      </c>
      <c r="E172" s="24" t="s">
        <v>986</v>
      </c>
      <c r="F172" s="24" t="s">
        <v>987</v>
      </c>
      <c r="G172" s="25" t="s">
        <v>988</v>
      </c>
      <c r="H172" s="24" t="s">
        <v>989</v>
      </c>
      <c r="I172" s="24" t="s">
        <v>918</v>
      </c>
      <c r="J172" s="24" t="s">
        <v>919</v>
      </c>
      <c r="K172" s="24" t="s">
        <v>919</v>
      </c>
      <c r="L172" s="26" t="s">
        <v>990</v>
      </c>
      <c r="M172" s="25"/>
      <c r="N172" s="28" t="e">
        <f>VLOOKUP(Table1[[#This Row],[ID TOKO]],Data_Aktual,4,FALSE)</f>
        <v>#N/A</v>
      </c>
      <c r="O172" s="29" t="s">
        <v>2819</v>
      </c>
      <c r="R172" s="5"/>
      <c r="S172" s="5"/>
    </row>
    <row r="173" spans="1:19" s="1" customFormat="1" ht="20.25" customHeight="1" x14ac:dyDescent="0.3">
      <c r="A173" s="1">
        <v>1</v>
      </c>
      <c r="B173" s="23">
        <v>167</v>
      </c>
      <c r="C173" s="24" t="s">
        <v>13</v>
      </c>
      <c r="D173" s="24" t="s">
        <v>991</v>
      </c>
      <c r="E173" s="24" t="s">
        <v>992</v>
      </c>
      <c r="F173" s="24" t="s">
        <v>993</v>
      </c>
      <c r="G173" s="25" t="s">
        <v>994</v>
      </c>
      <c r="H173" s="24" t="s">
        <v>933</v>
      </c>
      <c r="I173" s="24" t="s">
        <v>918</v>
      </c>
      <c r="J173" s="24" t="s">
        <v>919</v>
      </c>
      <c r="K173" s="24" t="s">
        <v>919</v>
      </c>
      <c r="L173" s="26" t="s">
        <v>995</v>
      </c>
      <c r="M173" s="27" t="s">
        <v>996</v>
      </c>
      <c r="N173" s="28" t="e">
        <f>VLOOKUP(Table1[[#This Row],[ID TOKO]],Data_Aktual,4,FALSE)</f>
        <v>#N/A</v>
      </c>
      <c r="O173" s="29" t="s">
        <v>2817</v>
      </c>
      <c r="R173" s="5"/>
      <c r="S173" s="5"/>
    </row>
    <row r="174" spans="1:19" s="1" customFormat="1" ht="20.25" customHeight="1" x14ac:dyDescent="0.3">
      <c r="A174" s="1">
        <v>1</v>
      </c>
      <c r="B174" s="23">
        <v>168</v>
      </c>
      <c r="C174" s="24" t="s">
        <v>13</v>
      </c>
      <c r="D174" s="24" t="s">
        <v>997</v>
      </c>
      <c r="E174" s="24" t="s">
        <v>998</v>
      </c>
      <c r="F174" s="24" t="s">
        <v>999</v>
      </c>
      <c r="G174" s="25" t="s">
        <v>1000</v>
      </c>
      <c r="H174" s="24" t="s">
        <v>1001</v>
      </c>
      <c r="I174" s="24" t="s">
        <v>918</v>
      </c>
      <c r="J174" s="24" t="s">
        <v>976</v>
      </c>
      <c r="K174" s="24" t="s">
        <v>919</v>
      </c>
      <c r="L174" s="26" t="s">
        <v>1002</v>
      </c>
      <c r="M174" s="27" t="s">
        <v>1003</v>
      </c>
      <c r="N174" s="28" t="e">
        <f>VLOOKUP(Table1[[#This Row],[ID TOKO]],Data_Aktual,4,FALSE)</f>
        <v>#N/A</v>
      </c>
      <c r="O174" s="29" t="s">
        <v>2816</v>
      </c>
      <c r="R174" s="5"/>
      <c r="S174" s="5"/>
    </row>
    <row r="175" spans="1:19" s="1" customFormat="1" ht="20.25" customHeight="1" x14ac:dyDescent="0.3">
      <c r="A175" s="1">
        <v>1</v>
      </c>
      <c r="B175" s="23">
        <v>169</v>
      </c>
      <c r="C175" s="24" t="s">
        <v>13</v>
      </c>
      <c r="D175" s="24" t="s">
        <v>1004</v>
      </c>
      <c r="E175" s="24" t="s">
        <v>1005</v>
      </c>
      <c r="F175" s="24" t="s">
        <v>1006</v>
      </c>
      <c r="G175" s="25" t="s">
        <v>1007</v>
      </c>
      <c r="H175" s="24" t="s">
        <v>1008</v>
      </c>
      <c r="I175" s="24" t="s">
        <v>918</v>
      </c>
      <c r="J175" s="24" t="s">
        <v>919</v>
      </c>
      <c r="K175" s="24" t="s">
        <v>919</v>
      </c>
      <c r="L175" s="26"/>
      <c r="M175" s="27" t="s">
        <v>1009</v>
      </c>
      <c r="N175" s="28" t="e">
        <f>VLOOKUP(Table1[[#This Row],[ID TOKO]],Data_Aktual,4,FALSE)</f>
        <v>#N/A</v>
      </c>
      <c r="O175" s="29" t="s">
        <v>2814</v>
      </c>
      <c r="R175" s="5"/>
      <c r="S175" s="5"/>
    </row>
    <row r="176" spans="1:19" s="1" customFormat="1" ht="20.25" customHeight="1" x14ac:dyDescent="0.3">
      <c r="A176" s="1">
        <v>1</v>
      </c>
      <c r="B176" s="23">
        <v>170</v>
      </c>
      <c r="C176" s="24" t="s">
        <v>13</v>
      </c>
      <c r="D176" s="24" t="s">
        <v>1010</v>
      </c>
      <c r="E176" s="24" t="s">
        <v>1011</v>
      </c>
      <c r="F176" s="24" t="s">
        <v>1012</v>
      </c>
      <c r="G176" s="25" t="s">
        <v>1013</v>
      </c>
      <c r="H176" s="24" t="s">
        <v>1014</v>
      </c>
      <c r="I176" s="24" t="s">
        <v>918</v>
      </c>
      <c r="J176" s="24" t="s">
        <v>919</v>
      </c>
      <c r="K176" s="24" t="s">
        <v>919</v>
      </c>
      <c r="L176" s="26" t="s">
        <v>1015</v>
      </c>
      <c r="M176" s="27" t="s">
        <v>1016</v>
      </c>
      <c r="N176" s="28" t="e">
        <f>VLOOKUP(Table1[[#This Row],[ID TOKO]],Data_Aktual,4,FALSE)</f>
        <v>#N/A</v>
      </c>
      <c r="O176" s="29" t="s">
        <v>2812</v>
      </c>
      <c r="R176" s="5"/>
      <c r="S176" s="5"/>
    </row>
    <row r="177" spans="1:20" s="1" customFormat="1" ht="20.25" customHeight="1" x14ac:dyDescent="0.25">
      <c r="A177" s="1">
        <v>1</v>
      </c>
      <c r="B177" s="23">
        <v>171</v>
      </c>
      <c r="C177" s="24" t="s">
        <v>13</v>
      </c>
      <c r="D177" s="24" t="s">
        <v>1017</v>
      </c>
      <c r="E177" s="24" t="s">
        <v>1018</v>
      </c>
      <c r="F177" s="24" t="s">
        <v>1019</v>
      </c>
      <c r="G177" s="25" t="s">
        <v>1020</v>
      </c>
      <c r="H177" s="24" t="s">
        <v>1021</v>
      </c>
      <c r="I177" s="24" t="s">
        <v>918</v>
      </c>
      <c r="J177" s="24" t="s">
        <v>919</v>
      </c>
      <c r="K177" s="24" t="s">
        <v>919</v>
      </c>
      <c r="L177" s="26" t="s">
        <v>1022</v>
      </c>
      <c r="M177" s="25"/>
      <c r="N177" s="28" t="e">
        <f>VLOOKUP(Table1[[#This Row],[ID TOKO]],Data_Aktual,4,FALSE)</f>
        <v>#N/A</v>
      </c>
      <c r="O177" s="29" t="s">
        <v>2810</v>
      </c>
      <c r="R177" s="5"/>
      <c r="S177" s="5"/>
    </row>
    <row r="178" spans="1:20" s="1" customFormat="1" ht="20.25" customHeight="1" x14ac:dyDescent="0.3">
      <c r="A178" s="1">
        <v>1</v>
      </c>
      <c r="B178" s="23">
        <v>172</v>
      </c>
      <c r="C178" s="24" t="s">
        <v>13</v>
      </c>
      <c r="D178" s="24" t="s">
        <v>1023</v>
      </c>
      <c r="E178" s="24" t="s">
        <v>1024</v>
      </c>
      <c r="F178" s="25" t="s">
        <v>1025</v>
      </c>
      <c r="G178" s="25" t="s">
        <v>1026</v>
      </c>
      <c r="H178" s="25" t="s">
        <v>1021</v>
      </c>
      <c r="I178" s="24" t="s">
        <v>918</v>
      </c>
      <c r="J178" s="25" t="s">
        <v>919</v>
      </c>
      <c r="K178" s="25" t="s">
        <v>919</v>
      </c>
      <c r="L178" s="26"/>
      <c r="M178" s="27" t="s">
        <v>1027</v>
      </c>
      <c r="N178" s="28" t="e">
        <f>VLOOKUP(Table1[[#This Row],[ID TOKO]],Data_Aktual,4,FALSE)</f>
        <v>#N/A</v>
      </c>
      <c r="O178" s="29" t="s">
        <v>2808</v>
      </c>
      <c r="R178" s="5"/>
      <c r="S178" s="5"/>
    </row>
    <row r="179" spans="1:20" s="1" customFormat="1" ht="20.25" customHeight="1" x14ac:dyDescent="0.25">
      <c r="A179" s="1">
        <v>1</v>
      </c>
      <c r="B179" s="23">
        <v>173</v>
      </c>
      <c r="C179" s="24" t="s">
        <v>13</v>
      </c>
      <c r="D179" s="24" t="s">
        <v>1028</v>
      </c>
      <c r="E179" s="24" t="s">
        <v>1029</v>
      </c>
      <c r="F179" s="24" t="s">
        <v>1030</v>
      </c>
      <c r="G179" s="25" t="s">
        <v>1031</v>
      </c>
      <c r="H179" s="24" t="s">
        <v>1032</v>
      </c>
      <c r="I179" s="24" t="s">
        <v>918</v>
      </c>
      <c r="J179" s="24" t="s">
        <v>919</v>
      </c>
      <c r="K179" s="24" t="s">
        <v>919</v>
      </c>
      <c r="L179" s="26" t="s">
        <v>1033</v>
      </c>
      <c r="M179" s="25"/>
      <c r="N179" s="28" t="e">
        <f>VLOOKUP(Table1[[#This Row],[ID TOKO]],Data_Aktual,4,FALSE)</f>
        <v>#N/A</v>
      </c>
      <c r="O179" s="29" t="s">
        <v>2807</v>
      </c>
      <c r="R179" s="5"/>
      <c r="S179" s="5"/>
    </row>
    <row r="180" spans="1:20" s="1" customFormat="1" ht="20.25" customHeight="1" x14ac:dyDescent="0.25">
      <c r="A180" s="1">
        <v>1</v>
      </c>
      <c r="B180" s="23">
        <v>174</v>
      </c>
      <c r="C180" s="24" t="s">
        <v>13</v>
      </c>
      <c r="D180" s="24" t="s">
        <v>1034</v>
      </c>
      <c r="E180" s="24" t="s">
        <v>1035</v>
      </c>
      <c r="F180" s="24" t="s">
        <v>1030</v>
      </c>
      <c r="G180" s="25" t="s">
        <v>1036</v>
      </c>
      <c r="H180" s="24" t="s">
        <v>933</v>
      </c>
      <c r="I180" s="24" t="s">
        <v>918</v>
      </c>
      <c r="J180" s="24" t="s">
        <v>919</v>
      </c>
      <c r="K180" s="24" t="s">
        <v>919</v>
      </c>
      <c r="L180" s="26" t="s">
        <v>1037</v>
      </c>
      <c r="M180" s="25"/>
      <c r="N180" s="28" t="e">
        <f>VLOOKUP(Table1[[#This Row],[ID TOKO]],Data_Aktual,4,FALSE)</f>
        <v>#N/A</v>
      </c>
      <c r="O180" s="29" t="s">
        <v>2805</v>
      </c>
      <c r="R180" s="5"/>
      <c r="S180" s="5"/>
    </row>
    <row r="181" spans="1:20" s="1" customFormat="1" ht="20.25" customHeight="1" x14ac:dyDescent="0.3">
      <c r="A181" s="1">
        <v>1</v>
      </c>
      <c r="B181" s="23">
        <v>175</v>
      </c>
      <c r="C181" s="24" t="s">
        <v>13</v>
      </c>
      <c r="D181" s="24" t="s">
        <v>1038</v>
      </c>
      <c r="E181" s="24" t="s">
        <v>1039</v>
      </c>
      <c r="F181" s="24" t="s">
        <v>1040</v>
      </c>
      <c r="G181" s="25" t="s">
        <v>1041</v>
      </c>
      <c r="H181" s="24" t="s">
        <v>969</v>
      </c>
      <c r="I181" s="24" t="s">
        <v>918</v>
      </c>
      <c r="J181" s="24" t="s">
        <v>919</v>
      </c>
      <c r="K181" s="24" t="s">
        <v>919</v>
      </c>
      <c r="L181" s="26" t="s">
        <v>1042</v>
      </c>
      <c r="M181" s="27" t="s">
        <v>1043</v>
      </c>
      <c r="N181" s="28" t="e">
        <f>VLOOKUP(Table1[[#This Row],[ID TOKO]],Data_Aktual,4,FALSE)</f>
        <v>#N/A</v>
      </c>
      <c r="O181" s="29" t="s">
        <v>2803</v>
      </c>
      <c r="R181" s="5"/>
      <c r="S181" s="5"/>
    </row>
    <row r="182" spans="1:20" s="1" customFormat="1" ht="20.25" customHeight="1" x14ac:dyDescent="0.25">
      <c r="A182" s="1">
        <v>1</v>
      </c>
      <c r="B182" s="23">
        <v>176</v>
      </c>
      <c r="C182" s="24" t="s">
        <v>13</v>
      </c>
      <c r="D182" s="24" t="s">
        <v>1044</v>
      </c>
      <c r="E182" s="24" t="s">
        <v>1045</v>
      </c>
      <c r="F182" s="24" t="s">
        <v>1046</v>
      </c>
      <c r="G182" s="25" t="s">
        <v>1047</v>
      </c>
      <c r="H182" s="24" t="s">
        <v>1048</v>
      </c>
      <c r="I182" s="24" t="s">
        <v>918</v>
      </c>
      <c r="J182" s="24" t="s">
        <v>919</v>
      </c>
      <c r="K182" s="24" t="s">
        <v>919</v>
      </c>
      <c r="L182" s="26" t="s">
        <v>1049</v>
      </c>
      <c r="M182" s="25"/>
      <c r="N182" s="28" t="e">
        <f>VLOOKUP(Table1[[#This Row],[ID TOKO]],Data_Aktual,4,FALSE)</f>
        <v>#N/A</v>
      </c>
      <c r="O182" s="29" t="s">
        <v>2801</v>
      </c>
      <c r="R182" s="5"/>
      <c r="S182" s="5"/>
    </row>
    <row r="183" spans="1:20" s="1" customFormat="1" ht="20.25" customHeight="1" x14ac:dyDescent="0.3">
      <c r="A183" s="1">
        <v>1</v>
      </c>
      <c r="B183" s="23">
        <v>177</v>
      </c>
      <c r="C183" s="24" t="s">
        <v>13</v>
      </c>
      <c r="D183" s="24" t="s">
        <v>1050</v>
      </c>
      <c r="E183" s="24" t="s">
        <v>1051</v>
      </c>
      <c r="F183" s="24" t="s">
        <v>1052</v>
      </c>
      <c r="G183" s="25" t="s">
        <v>1053</v>
      </c>
      <c r="H183" s="24" t="s">
        <v>926</v>
      </c>
      <c r="I183" s="24" t="s">
        <v>918</v>
      </c>
      <c r="J183" s="24" t="s">
        <v>919</v>
      </c>
      <c r="K183" s="24" t="s">
        <v>919</v>
      </c>
      <c r="L183" s="26" t="s">
        <v>1054</v>
      </c>
      <c r="M183" s="27" t="s">
        <v>1055</v>
      </c>
      <c r="N183" s="28" t="e">
        <f>VLOOKUP(Table1[[#This Row],[ID TOKO]],Data_Aktual,4,FALSE)</f>
        <v>#N/A</v>
      </c>
      <c r="O183" s="29" t="s">
        <v>2799</v>
      </c>
      <c r="R183" s="5"/>
      <c r="S183" s="5"/>
    </row>
    <row r="184" spans="1:20" s="1" customFormat="1" ht="20.25" customHeight="1" x14ac:dyDescent="0.25">
      <c r="A184" s="1">
        <v>1</v>
      </c>
      <c r="B184" s="23">
        <v>178</v>
      </c>
      <c r="C184" s="24" t="s">
        <v>13</v>
      </c>
      <c r="D184" s="24" t="s">
        <v>1056</v>
      </c>
      <c r="E184" s="24" t="s">
        <v>1057</v>
      </c>
      <c r="F184" s="24" t="s">
        <v>1058</v>
      </c>
      <c r="G184" s="25" t="s">
        <v>1059</v>
      </c>
      <c r="H184" s="24" t="s">
        <v>1060</v>
      </c>
      <c r="I184" s="24" t="s">
        <v>918</v>
      </c>
      <c r="J184" s="24" t="s">
        <v>919</v>
      </c>
      <c r="K184" s="24" t="s">
        <v>919</v>
      </c>
      <c r="L184" s="26" t="s">
        <v>1061</v>
      </c>
      <c r="M184" s="25"/>
      <c r="N184" s="28" t="e">
        <f>VLOOKUP(Table1[[#This Row],[ID TOKO]],Data_Aktual,4,FALSE)</f>
        <v>#N/A</v>
      </c>
      <c r="O184" s="29" t="s">
        <v>2797</v>
      </c>
      <c r="R184" s="5"/>
      <c r="S184" s="5"/>
    </row>
    <row r="185" spans="1:20" s="1" customFormat="1" ht="20.25" customHeight="1" x14ac:dyDescent="0.3">
      <c r="A185" s="1">
        <v>1</v>
      </c>
      <c r="B185" s="23">
        <v>179</v>
      </c>
      <c r="C185" s="24" t="s">
        <v>13</v>
      </c>
      <c r="D185" s="24" t="s">
        <v>1062</v>
      </c>
      <c r="E185" s="24" t="s">
        <v>1063</v>
      </c>
      <c r="F185" s="24" t="s">
        <v>1064</v>
      </c>
      <c r="G185" s="25" t="s">
        <v>1065</v>
      </c>
      <c r="H185" s="24" t="s">
        <v>975</v>
      </c>
      <c r="I185" s="24" t="s">
        <v>918</v>
      </c>
      <c r="J185" s="24" t="s">
        <v>976</v>
      </c>
      <c r="K185" s="24" t="s">
        <v>919</v>
      </c>
      <c r="L185" s="26" t="s">
        <v>1066</v>
      </c>
      <c r="M185" s="27" t="s">
        <v>1067</v>
      </c>
      <c r="N185" s="28" t="e">
        <f>VLOOKUP(Table1[[#This Row],[ID TOKO]],Data_Aktual,4,FALSE)</f>
        <v>#N/A</v>
      </c>
      <c r="O185" s="29" t="s">
        <v>2795</v>
      </c>
      <c r="R185" s="5"/>
      <c r="S185" s="5"/>
    </row>
    <row r="186" spans="1:20" s="1" customFormat="1" ht="20.25" customHeight="1" x14ac:dyDescent="0.3">
      <c r="A186" s="1">
        <v>1</v>
      </c>
      <c r="B186" s="23">
        <v>180</v>
      </c>
      <c r="C186" s="24" t="s">
        <v>13</v>
      </c>
      <c r="D186" s="24" t="s">
        <v>1068</v>
      </c>
      <c r="E186" s="24" t="s">
        <v>1069</v>
      </c>
      <c r="F186" s="25" t="s">
        <v>1070</v>
      </c>
      <c r="G186" s="25" t="s">
        <v>1071</v>
      </c>
      <c r="H186" s="25" t="s">
        <v>1072</v>
      </c>
      <c r="I186" s="24" t="s">
        <v>918</v>
      </c>
      <c r="J186" s="25" t="s">
        <v>919</v>
      </c>
      <c r="K186" s="25" t="s">
        <v>919</v>
      </c>
      <c r="L186" s="25" t="s">
        <v>1073</v>
      </c>
      <c r="M186" s="27" t="s">
        <v>1074</v>
      </c>
      <c r="N186" s="28" t="e">
        <f>VLOOKUP(Table1[[#This Row],[ID TOKO]],Data_Aktual,4,FALSE)</f>
        <v>#N/A</v>
      </c>
      <c r="O186" s="29" t="s">
        <v>2793</v>
      </c>
      <c r="R186" s="5"/>
      <c r="S186" s="5"/>
    </row>
    <row r="187" spans="1:20" s="4" customFormat="1" ht="20.25" customHeight="1" x14ac:dyDescent="0.3">
      <c r="A187" s="1">
        <v>1</v>
      </c>
      <c r="B187" s="23">
        <v>181</v>
      </c>
      <c r="C187" s="24" t="s">
        <v>13</v>
      </c>
      <c r="D187" s="24" t="s">
        <v>1075</v>
      </c>
      <c r="E187" s="24" t="s">
        <v>1076</v>
      </c>
      <c r="F187" s="24" t="s">
        <v>1077</v>
      </c>
      <c r="G187" s="25" t="s">
        <v>1078</v>
      </c>
      <c r="H187" s="24" t="s">
        <v>933</v>
      </c>
      <c r="I187" s="24" t="s">
        <v>918</v>
      </c>
      <c r="J187" s="24" t="s">
        <v>919</v>
      </c>
      <c r="K187" s="24" t="s">
        <v>919</v>
      </c>
      <c r="L187" s="26" t="s">
        <v>1079</v>
      </c>
      <c r="M187" s="27" t="s">
        <v>1080</v>
      </c>
      <c r="N187" s="28" t="e">
        <f>VLOOKUP(Table1[[#This Row],[ID TOKO]],Data_Aktual,4,FALSE)</f>
        <v>#N/A</v>
      </c>
      <c r="O187" s="29" t="s">
        <v>2791</v>
      </c>
      <c r="P187" s="1"/>
      <c r="R187" s="5"/>
      <c r="S187" s="5"/>
      <c r="T187" s="1"/>
    </row>
    <row r="188" spans="1:20" s="1" customFormat="1" ht="20.25" customHeight="1" x14ac:dyDescent="0.3">
      <c r="A188" s="1">
        <v>1</v>
      </c>
      <c r="B188" s="23">
        <v>182</v>
      </c>
      <c r="C188" s="24" t="s">
        <v>13</v>
      </c>
      <c r="D188" s="24" t="s">
        <v>1081</v>
      </c>
      <c r="E188" s="24" t="s">
        <v>1082</v>
      </c>
      <c r="F188" s="24" t="s">
        <v>1083</v>
      </c>
      <c r="G188" s="25" t="s">
        <v>1084</v>
      </c>
      <c r="H188" s="24" t="s">
        <v>1085</v>
      </c>
      <c r="I188" s="24" t="s">
        <v>918</v>
      </c>
      <c r="J188" s="24" t="s">
        <v>919</v>
      </c>
      <c r="K188" s="24" t="s">
        <v>919</v>
      </c>
      <c r="L188" s="26" t="s">
        <v>1086</v>
      </c>
      <c r="M188" s="27" t="s">
        <v>1087</v>
      </c>
      <c r="N188" s="28" t="e">
        <f>VLOOKUP(Table1[[#This Row],[ID TOKO]],Data_Aktual,4,FALSE)</f>
        <v>#N/A</v>
      </c>
      <c r="O188" s="29" t="s">
        <v>2789</v>
      </c>
      <c r="R188" s="5"/>
      <c r="S188" s="5"/>
    </row>
    <row r="189" spans="1:20" s="1" customFormat="1" ht="20.25" customHeight="1" x14ac:dyDescent="0.3">
      <c r="A189" s="1">
        <v>1</v>
      </c>
      <c r="B189" s="23">
        <v>183</v>
      </c>
      <c r="C189" s="24" t="s">
        <v>13</v>
      </c>
      <c r="D189" s="24" t="s">
        <v>1088</v>
      </c>
      <c r="E189" s="24" t="s">
        <v>1089</v>
      </c>
      <c r="F189" s="24" t="s">
        <v>1090</v>
      </c>
      <c r="G189" s="25" t="s">
        <v>1091</v>
      </c>
      <c r="H189" s="24" t="s">
        <v>1092</v>
      </c>
      <c r="I189" s="24" t="s">
        <v>918</v>
      </c>
      <c r="J189" s="24" t="s">
        <v>919</v>
      </c>
      <c r="K189" s="24" t="s">
        <v>919</v>
      </c>
      <c r="L189" s="26" t="s">
        <v>1093</v>
      </c>
      <c r="M189" s="27" t="s">
        <v>1094</v>
      </c>
      <c r="N189" s="28" t="e">
        <f>VLOOKUP(Table1[[#This Row],[ID TOKO]],Data_Aktual,4,FALSE)</f>
        <v>#N/A</v>
      </c>
      <c r="O189" s="29" t="s">
        <v>2787</v>
      </c>
      <c r="R189" s="5"/>
      <c r="S189" s="5"/>
    </row>
    <row r="190" spans="1:20" s="1" customFormat="1" ht="20.25" customHeight="1" x14ac:dyDescent="0.3">
      <c r="A190" s="1">
        <v>1</v>
      </c>
      <c r="B190" s="23">
        <v>184</v>
      </c>
      <c r="C190" s="24" t="s">
        <v>13</v>
      </c>
      <c r="D190" s="24" t="s">
        <v>1095</v>
      </c>
      <c r="E190" s="24" t="s">
        <v>1096</v>
      </c>
      <c r="F190" s="24" t="s">
        <v>1097</v>
      </c>
      <c r="G190" s="25" t="s">
        <v>1098</v>
      </c>
      <c r="H190" s="24" t="s">
        <v>933</v>
      </c>
      <c r="I190" s="24" t="s">
        <v>918</v>
      </c>
      <c r="J190" s="24" t="s">
        <v>919</v>
      </c>
      <c r="K190" s="24" t="s">
        <v>919</v>
      </c>
      <c r="L190" s="26" t="s">
        <v>1099</v>
      </c>
      <c r="M190" s="27" t="s">
        <v>1100</v>
      </c>
      <c r="N190" s="28" t="e">
        <f>VLOOKUP(Table1[[#This Row],[ID TOKO]],Data_Aktual,4,FALSE)</f>
        <v>#N/A</v>
      </c>
      <c r="O190" s="29" t="s">
        <v>2785</v>
      </c>
      <c r="R190" s="5"/>
      <c r="S190" s="5"/>
    </row>
    <row r="191" spans="1:20" s="1" customFormat="1" ht="20.25" customHeight="1" x14ac:dyDescent="0.3">
      <c r="A191" s="1">
        <v>1</v>
      </c>
      <c r="B191" s="23">
        <v>185</v>
      </c>
      <c r="C191" s="24" t="s">
        <v>13</v>
      </c>
      <c r="D191" s="24" t="s">
        <v>1101</v>
      </c>
      <c r="E191" s="24" t="s">
        <v>1102</v>
      </c>
      <c r="F191" s="24" t="s">
        <v>1103</v>
      </c>
      <c r="G191" s="25" t="s">
        <v>1104</v>
      </c>
      <c r="H191" s="24" t="s">
        <v>933</v>
      </c>
      <c r="I191" s="24" t="s">
        <v>918</v>
      </c>
      <c r="J191" s="24" t="s">
        <v>919</v>
      </c>
      <c r="K191" s="24" t="s">
        <v>919</v>
      </c>
      <c r="L191" s="26" t="s">
        <v>1105</v>
      </c>
      <c r="M191" s="27" t="s">
        <v>1106</v>
      </c>
      <c r="N191" s="28" t="e">
        <f>VLOOKUP(Table1[[#This Row],[ID TOKO]],Data_Aktual,4,FALSE)</f>
        <v>#N/A</v>
      </c>
      <c r="O191" s="29" t="s">
        <v>2783</v>
      </c>
      <c r="R191" s="5"/>
      <c r="S191" s="5"/>
    </row>
    <row r="192" spans="1:20" s="1" customFormat="1" ht="20.25" customHeight="1" x14ac:dyDescent="0.3">
      <c r="A192" s="1">
        <v>1</v>
      </c>
      <c r="B192" s="23">
        <v>186</v>
      </c>
      <c r="C192" s="24" t="s">
        <v>13</v>
      </c>
      <c r="D192" s="24" t="s">
        <v>1107</v>
      </c>
      <c r="E192" s="24" t="s">
        <v>1108</v>
      </c>
      <c r="F192" s="24" t="s">
        <v>1109</v>
      </c>
      <c r="G192" s="25" t="s">
        <v>1110</v>
      </c>
      <c r="H192" s="24" t="s">
        <v>951</v>
      </c>
      <c r="I192" s="24" t="s">
        <v>918</v>
      </c>
      <c r="J192" s="24" t="s">
        <v>919</v>
      </c>
      <c r="K192" s="24" t="s">
        <v>919</v>
      </c>
      <c r="L192" s="26" t="s">
        <v>1111</v>
      </c>
      <c r="M192" s="27" t="s">
        <v>1112</v>
      </c>
      <c r="N192" s="28" t="e">
        <f>VLOOKUP(Table1[[#This Row],[ID TOKO]],Data_Aktual,4,FALSE)</f>
        <v>#N/A</v>
      </c>
      <c r="O192" s="29" t="s">
        <v>2781</v>
      </c>
      <c r="R192" s="5"/>
      <c r="S192" s="5"/>
    </row>
    <row r="193" spans="1:19" s="1" customFormat="1" ht="20.25" customHeight="1" x14ac:dyDescent="0.25">
      <c r="A193" s="1">
        <v>1</v>
      </c>
      <c r="B193" s="23">
        <v>187</v>
      </c>
      <c r="C193" s="24" t="s">
        <v>13</v>
      </c>
      <c r="D193" s="24" t="s">
        <v>1113</v>
      </c>
      <c r="E193" s="24" t="s">
        <v>1114</v>
      </c>
      <c r="F193" s="24" t="s">
        <v>1115</v>
      </c>
      <c r="G193" s="25" t="s">
        <v>1116</v>
      </c>
      <c r="H193" s="24" t="s">
        <v>1117</v>
      </c>
      <c r="I193" s="24" t="s">
        <v>918</v>
      </c>
      <c r="J193" s="24" t="s">
        <v>919</v>
      </c>
      <c r="K193" s="24" t="s">
        <v>919</v>
      </c>
      <c r="L193" s="26" t="s">
        <v>1118</v>
      </c>
      <c r="M193" s="25"/>
      <c r="N193" s="28" t="e">
        <f>VLOOKUP(Table1[[#This Row],[ID TOKO]],Data_Aktual,4,FALSE)</f>
        <v>#N/A</v>
      </c>
      <c r="O193" s="29" t="s">
        <v>2779</v>
      </c>
      <c r="R193" s="5"/>
      <c r="S193" s="5"/>
    </row>
    <row r="194" spans="1:19" s="1" customFormat="1" ht="20.25" customHeight="1" x14ac:dyDescent="0.25">
      <c r="A194" s="1">
        <v>1</v>
      </c>
      <c r="B194" s="23">
        <v>188</v>
      </c>
      <c r="C194" s="24" t="s">
        <v>13</v>
      </c>
      <c r="D194" s="24" t="s">
        <v>1119</v>
      </c>
      <c r="E194" s="24" t="s">
        <v>1120</v>
      </c>
      <c r="F194" s="24" t="s">
        <v>1121</v>
      </c>
      <c r="G194" s="25" t="s">
        <v>1122</v>
      </c>
      <c r="H194" s="24" t="s">
        <v>933</v>
      </c>
      <c r="I194" s="24" t="s">
        <v>918</v>
      </c>
      <c r="J194" s="24" t="s">
        <v>919</v>
      </c>
      <c r="K194" s="24" t="s">
        <v>919</v>
      </c>
      <c r="L194" s="26" t="s">
        <v>1123</v>
      </c>
      <c r="M194" s="25"/>
      <c r="N194" s="28" t="e">
        <f>VLOOKUP(Table1[[#This Row],[ID TOKO]],Data_Aktual,4,FALSE)</f>
        <v>#N/A</v>
      </c>
      <c r="O194" s="29" t="s">
        <v>2777</v>
      </c>
      <c r="R194" s="5"/>
      <c r="S194" s="5"/>
    </row>
    <row r="195" spans="1:19" s="1" customFormat="1" ht="20.25" customHeight="1" x14ac:dyDescent="0.3">
      <c r="A195" s="1">
        <v>1</v>
      </c>
      <c r="B195" s="23">
        <v>189</v>
      </c>
      <c r="C195" s="24" t="s">
        <v>13</v>
      </c>
      <c r="D195" s="24" t="s">
        <v>1124</v>
      </c>
      <c r="E195" s="24" t="s">
        <v>1125</v>
      </c>
      <c r="F195" s="25" t="s">
        <v>1126</v>
      </c>
      <c r="G195" s="25" t="s">
        <v>1127</v>
      </c>
      <c r="H195" s="24" t="s">
        <v>1128</v>
      </c>
      <c r="I195" s="24" t="s">
        <v>918</v>
      </c>
      <c r="J195" s="24" t="s">
        <v>919</v>
      </c>
      <c r="K195" s="24" t="s">
        <v>919</v>
      </c>
      <c r="L195" s="26" t="s">
        <v>1129</v>
      </c>
      <c r="M195" s="27" t="s">
        <v>1130</v>
      </c>
      <c r="N195" s="28" t="e">
        <f>VLOOKUP(Table1[[#This Row],[ID TOKO]],Data_Aktual,4,FALSE)</f>
        <v>#N/A</v>
      </c>
      <c r="O195" s="29" t="s">
        <v>2775</v>
      </c>
      <c r="R195" s="5"/>
      <c r="S195" s="5"/>
    </row>
    <row r="196" spans="1:19" s="1" customFormat="1" ht="20.25" customHeight="1" x14ac:dyDescent="0.3">
      <c r="A196" s="1">
        <v>1</v>
      </c>
      <c r="B196" s="23">
        <v>190</v>
      </c>
      <c r="C196" s="24" t="s">
        <v>13</v>
      </c>
      <c r="D196" s="24" t="s">
        <v>1131</v>
      </c>
      <c r="E196" s="24" t="s">
        <v>1132</v>
      </c>
      <c r="F196" s="24" t="s">
        <v>1133</v>
      </c>
      <c r="G196" s="25" t="s">
        <v>1134</v>
      </c>
      <c r="H196" s="24" t="s">
        <v>1135</v>
      </c>
      <c r="I196" s="24" t="s">
        <v>918</v>
      </c>
      <c r="J196" s="24" t="s">
        <v>919</v>
      </c>
      <c r="K196" s="24" t="s">
        <v>919</v>
      </c>
      <c r="L196" s="26" t="s">
        <v>1136</v>
      </c>
      <c r="M196" s="27" t="s">
        <v>1137</v>
      </c>
      <c r="N196" s="28" t="e">
        <f>VLOOKUP(Table1[[#This Row],[ID TOKO]],Data_Aktual,4,FALSE)</f>
        <v>#N/A</v>
      </c>
      <c r="O196" s="29" t="s">
        <v>2774</v>
      </c>
      <c r="R196" s="5"/>
      <c r="S196" s="5"/>
    </row>
    <row r="197" spans="1:19" s="1" customFormat="1" ht="20.25" customHeight="1" x14ac:dyDescent="0.3">
      <c r="A197" s="1">
        <v>1</v>
      </c>
      <c r="B197" s="23">
        <v>191</v>
      </c>
      <c r="C197" s="24" t="s">
        <v>13</v>
      </c>
      <c r="D197" s="24" t="s">
        <v>1138</v>
      </c>
      <c r="E197" s="24" t="s">
        <v>1139</v>
      </c>
      <c r="F197" s="24" t="s">
        <v>1140</v>
      </c>
      <c r="G197" s="25" t="s">
        <v>1141</v>
      </c>
      <c r="H197" s="24" t="s">
        <v>951</v>
      </c>
      <c r="I197" s="24" t="s">
        <v>918</v>
      </c>
      <c r="J197" s="24" t="s">
        <v>919</v>
      </c>
      <c r="K197" s="24" t="s">
        <v>919</v>
      </c>
      <c r="L197" s="26" t="s">
        <v>1142</v>
      </c>
      <c r="M197" s="27" t="s">
        <v>1143</v>
      </c>
      <c r="N197" s="28" t="e">
        <f>VLOOKUP(Table1[[#This Row],[ID TOKO]],Data_Aktual,4,FALSE)</f>
        <v>#N/A</v>
      </c>
      <c r="O197" s="29" t="s">
        <v>2772</v>
      </c>
      <c r="R197" s="5"/>
      <c r="S197" s="5"/>
    </row>
    <row r="198" spans="1:19" s="1" customFormat="1" ht="20.25" customHeight="1" x14ac:dyDescent="0.3">
      <c r="A198" s="1">
        <v>1</v>
      </c>
      <c r="B198" s="23">
        <v>192</v>
      </c>
      <c r="C198" s="24" t="s">
        <v>13</v>
      </c>
      <c r="D198" s="24" t="s">
        <v>1144</v>
      </c>
      <c r="E198" s="24" t="s">
        <v>1145</v>
      </c>
      <c r="F198" s="24" t="s">
        <v>1146</v>
      </c>
      <c r="G198" s="25" t="s">
        <v>1147</v>
      </c>
      <c r="H198" s="24" t="s">
        <v>1148</v>
      </c>
      <c r="I198" s="24" t="s">
        <v>918</v>
      </c>
      <c r="J198" s="24" t="s">
        <v>919</v>
      </c>
      <c r="K198" s="24" t="s">
        <v>919</v>
      </c>
      <c r="L198" s="26" t="s">
        <v>1149</v>
      </c>
      <c r="M198" s="27" t="s">
        <v>1150</v>
      </c>
      <c r="N198" s="28" t="e">
        <f>VLOOKUP(Table1[[#This Row],[ID TOKO]],Data_Aktual,4,FALSE)</f>
        <v>#N/A</v>
      </c>
      <c r="O198" s="29" t="s">
        <v>2768</v>
      </c>
      <c r="R198" s="5"/>
      <c r="S198" s="5"/>
    </row>
    <row r="199" spans="1:19" s="1" customFormat="1" ht="20.25" customHeight="1" x14ac:dyDescent="0.3">
      <c r="A199" s="1">
        <v>1</v>
      </c>
      <c r="B199" s="23">
        <v>193</v>
      </c>
      <c r="C199" s="24" t="s">
        <v>13</v>
      </c>
      <c r="D199" s="24" t="s">
        <v>1151</v>
      </c>
      <c r="E199" s="24" t="s">
        <v>1152</v>
      </c>
      <c r="F199" s="24" t="s">
        <v>1153</v>
      </c>
      <c r="G199" s="25" t="s">
        <v>1154</v>
      </c>
      <c r="H199" s="24" t="s">
        <v>917</v>
      </c>
      <c r="I199" s="24" t="s">
        <v>918</v>
      </c>
      <c r="J199" s="24" t="s">
        <v>919</v>
      </c>
      <c r="K199" s="24" t="s">
        <v>919</v>
      </c>
      <c r="L199" s="26" t="s">
        <v>1155</v>
      </c>
      <c r="M199" s="27" t="s">
        <v>1156</v>
      </c>
      <c r="N199" s="28" t="e">
        <f>VLOOKUP(Table1[[#This Row],[ID TOKO]],Data_Aktual,4,FALSE)</f>
        <v>#N/A</v>
      </c>
      <c r="O199" s="29" t="s">
        <v>2766</v>
      </c>
      <c r="R199" s="5"/>
      <c r="S199" s="5"/>
    </row>
    <row r="200" spans="1:19" s="1" customFormat="1" ht="20.25" customHeight="1" x14ac:dyDescent="0.25">
      <c r="A200" s="1">
        <v>1</v>
      </c>
      <c r="B200" s="23">
        <v>194</v>
      </c>
      <c r="C200" s="24" t="s">
        <v>13</v>
      </c>
      <c r="D200" s="24" t="s">
        <v>1157</v>
      </c>
      <c r="E200" s="24" t="s">
        <v>1158</v>
      </c>
      <c r="F200" s="24" t="s">
        <v>1159</v>
      </c>
      <c r="G200" s="25" t="s">
        <v>1160</v>
      </c>
      <c r="H200" s="24" t="s">
        <v>975</v>
      </c>
      <c r="I200" s="24" t="s">
        <v>918</v>
      </c>
      <c r="J200" s="24" t="s">
        <v>976</v>
      </c>
      <c r="K200" s="24" t="s">
        <v>919</v>
      </c>
      <c r="L200" s="26" t="s">
        <v>1161</v>
      </c>
      <c r="M200" s="25"/>
      <c r="N200" s="28" t="e">
        <f>VLOOKUP(Table1[[#This Row],[ID TOKO]],Data_Aktual,4,FALSE)</f>
        <v>#N/A</v>
      </c>
      <c r="O200" s="29" t="s">
        <v>2764</v>
      </c>
      <c r="R200" s="5"/>
      <c r="S200" s="5"/>
    </row>
    <row r="201" spans="1:19" s="1" customFormat="1" ht="20.25" customHeight="1" x14ac:dyDescent="0.3">
      <c r="A201" s="1">
        <v>1</v>
      </c>
      <c r="B201" s="23">
        <v>195</v>
      </c>
      <c r="C201" s="24" t="s">
        <v>13</v>
      </c>
      <c r="D201" s="24" t="s">
        <v>1162</v>
      </c>
      <c r="E201" s="24" t="s">
        <v>1163</v>
      </c>
      <c r="F201" s="24" t="s">
        <v>1159</v>
      </c>
      <c r="G201" s="25" t="s">
        <v>1164</v>
      </c>
      <c r="H201" s="24" t="s">
        <v>975</v>
      </c>
      <c r="I201" s="24" t="s">
        <v>918</v>
      </c>
      <c r="J201" s="24" t="s">
        <v>976</v>
      </c>
      <c r="K201" s="24" t="s">
        <v>919</v>
      </c>
      <c r="L201" s="26" t="s">
        <v>1165</v>
      </c>
      <c r="M201" s="27" t="s">
        <v>1166</v>
      </c>
      <c r="N201" s="28" t="e">
        <f>VLOOKUP(Table1[[#This Row],[ID TOKO]],Data_Aktual,4,FALSE)</f>
        <v>#N/A</v>
      </c>
      <c r="O201" s="29" t="s">
        <v>2762</v>
      </c>
      <c r="R201" s="5"/>
      <c r="S201" s="5"/>
    </row>
    <row r="202" spans="1:19" s="1" customFormat="1" ht="20.25" customHeight="1" x14ac:dyDescent="0.3">
      <c r="A202" s="1">
        <v>1</v>
      </c>
      <c r="B202" s="23">
        <v>196</v>
      </c>
      <c r="C202" s="24" t="s">
        <v>13</v>
      </c>
      <c r="D202" s="24" t="s">
        <v>1167</v>
      </c>
      <c r="E202" s="24" t="s">
        <v>1168</v>
      </c>
      <c r="F202" s="24" t="s">
        <v>1169</v>
      </c>
      <c r="G202" s="25" t="s">
        <v>1170</v>
      </c>
      <c r="H202" s="24" t="s">
        <v>975</v>
      </c>
      <c r="I202" s="24" t="s">
        <v>918</v>
      </c>
      <c r="J202" s="24" t="s">
        <v>976</v>
      </c>
      <c r="K202" s="24" t="s">
        <v>919</v>
      </c>
      <c r="L202" s="26" t="s">
        <v>1171</v>
      </c>
      <c r="M202" s="27" t="s">
        <v>1172</v>
      </c>
      <c r="N202" s="28" t="e">
        <f>VLOOKUP(Table1[[#This Row],[ID TOKO]],Data_Aktual,4,FALSE)</f>
        <v>#N/A</v>
      </c>
      <c r="O202" s="29" t="s">
        <v>2760</v>
      </c>
      <c r="R202" s="5"/>
      <c r="S202" s="5"/>
    </row>
    <row r="203" spans="1:19" s="1" customFormat="1" ht="20.25" customHeight="1" x14ac:dyDescent="0.25">
      <c r="A203" s="1">
        <v>1</v>
      </c>
      <c r="B203" s="23">
        <v>197</v>
      </c>
      <c r="C203" s="24" t="s">
        <v>13</v>
      </c>
      <c r="D203" s="24" t="s">
        <v>1173</v>
      </c>
      <c r="E203" s="24" t="s">
        <v>1174</v>
      </c>
      <c r="F203" s="24" t="s">
        <v>1175</v>
      </c>
      <c r="G203" s="25" t="s">
        <v>1176</v>
      </c>
      <c r="H203" s="24" t="s">
        <v>1092</v>
      </c>
      <c r="I203" s="24" t="s">
        <v>918</v>
      </c>
      <c r="J203" s="24" t="s">
        <v>919</v>
      </c>
      <c r="K203" s="24" t="s">
        <v>919</v>
      </c>
      <c r="L203" s="26" t="s">
        <v>1177</v>
      </c>
      <c r="M203" s="25"/>
      <c r="N203" s="28" t="e">
        <f>VLOOKUP(Table1[[#This Row],[ID TOKO]],Data_Aktual,4,FALSE)</f>
        <v>#N/A</v>
      </c>
      <c r="O203" s="29" t="s">
        <v>2758</v>
      </c>
      <c r="R203" s="5"/>
      <c r="S203" s="5"/>
    </row>
    <row r="204" spans="1:19" s="1" customFormat="1" ht="20.25" customHeight="1" x14ac:dyDescent="0.3">
      <c r="A204" s="1">
        <v>1</v>
      </c>
      <c r="B204" s="23">
        <v>198</v>
      </c>
      <c r="C204" s="24" t="s">
        <v>13</v>
      </c>
      <c r="D204" s="24" t="s">
        <v>1178</v>
      </c>
      <c r="E204" s="24" t="s">
        <v>1179</v>
      </c>
      <c r="F204" s="24" t="s">
        <v>1180</v>
      </c>
      <c r="G204" s="25" t="s">
        <v>1181</v>
      </c>
      <c r="H204" s="24" t="s">
        <v>1182</v>
      </c>
      <c r="I204" s="24" t="s">
        <v>918</v>
      </c>
      <c r="J204" s="24" t="s">
        <v>919</v>
      </c>
      <c r="K204" s="24" t="s">
        <v>919</v>
      </c>
      <c r="L204" s="26" t="s">
        <v>1183</v>
      </c>
      <c r="M204" s="27" t="s">
        <v>1184</v>
      </c>
      <c r="N204" s="28" t="e">
        <f>VLOOKUP(Table1[[#This Row],[ID TOKO]],Data_Aktual,4,FALSE)</f>
        <v>#N/A</v>
      </c>
      <c r="O204" s="29" t="s">
        <v>2756</v>
      </c>
      <c r="R204" s="5"/>
      <c r="S204" s="5"/>
    </row>
    <row r="205" spans="1:19" s="1" customFormat="1" ht="20.25" customHeight="1" x14ac:dyDescent="0.25">
      <c r="A205" s="1">
        <v>1</v>
      </c>
      <c r="B205" s="23">
        <v>199</v>
      </c>
      <c r="C205" s="24" t="s">
        <v>13</v>
      </c>
      <c r="D205" s="24" t="s">
        <v>1185</v>
      </c>
      <c r="E205" s="24" t="s">
        <v>1186</v>
      </c>
      <c r="F205" s="24" t="s">
        <v>1187</v>
      </c>
      <c r="G205" s="25" t="s">
        <v>1188</v>
      </c>
      <c r="H205" s="24" t="s">
        <v>1182</v>
      </c>
      <c r="I205" s="24" t="s">
        <v>918</v>
      </c>
      <c r="J205" s="24" t="s">
        <v>919</v>
      </c>
      <c r="K205" s="24" t="s">
        <v>919</v>
      </c>
      <c r="L205" s="26" t="s">
        <v>1189</v>
      </c>
      <c r="M205" s="36"/>
      <c r="N205" s="28" t="e">
        <f>VLOOKUP(Table1[[#This Row],[ID TOKO]],Data_Aktual,4,FALSE)</f>
        <v>#N/A</v>
      </c>
      <c r="O205" s="29" t="s">
        <v>2754</v>
      </c>
      <c r="R205" s="5"/>
      <c r="S205" s="5"/>
    </row>
    <row r="206" spans="1:19" s="1" customFormat="1" ht="20.25" customHeight="1" x14ac:dyDescent="0.25">
      <c r="A206" s="1">
        <v>1</v>
      </c>
      <c r="B206" s="23">
        <v>200</v>
      </c>
      <c r="C206" s="24" t="s">
        <v>13</v>
      </c>
      <c r="D206" s="24" t="s">
        <v>1190</v>
      </c>
      <c r="E206" s="24" t="s">
        <v>1191</v>
      </c>
      <c r="F206" s="24" t="s">
        <v>1192</v>
      </c>
      <c r="G206" s="25" t="s">
        <v>1193</v>
      </c>
      <c r="H206" s="24" t="s">
        <v>1194</v>
      </c>
      <c r="I206" s="24" t="s">
        <v>918</v>
      </c>
      <c r="J206" s="24" t="s">
        <v>919</v>
      </c>
      <c r="K206" s="24" t="s">
        <v>919</v>
      </c>
      <c r="L206" s="26"/>
      <c r="M206" s="36"/>
      <c r="N206" s="28" t="e">
        <f>VLOOKUP(Table1[[#This Row],[ID TOKO]],Data_Aktual,4,FALSE)</f>
        <v>#N/A</v>
      </c>
      <c r="O206" s="29" t="s">
        <v>2376</v>
      </c>
      <c r="R206" s="5"/>
      <c r="S206" s="5"/>
    </row>
    <row r="207" spans="1:19" s="1" customFormat="1" ht="20.25" customHeight="1" x14ac:dyDescent="0.25">
      <c r="A207" s="1">
        <v>1</v>
      </c>
      <c r="B207" s="23">
        <v>201</v>
      </c>
      <c r="C207" s="24" t="s">
        <v>13</v>
      </c>
      <c r="D207" s="24" t="s">
        <v>1195</v>
      </c>
      <c r="E207" s="24" t="s">
        <v>1196</v>
      </c>
      <c r="F207" s="24" t="s">
        <v>1197</v>
      </c>
      <c r="G207" s="25" t="s">
        <v>1198</v>
      </c>
      <c r="H207" s="24" t="s">
        <v>969</v>
      </c>
      <c r="I207" s="24" t="s">
        <v>918</v>
      </c>
      <c r="J207" s="24" t="s">
        <v>919</v>
      </c>
      <c r="K207" s="24" t="s">
        <v>919</v>
      </c>
      <c r="L207" s="26" t="s">
        <v>1177</v>
      </c>
      <c r="M207" s="36"/>
      <c r="N207" s="28" t="e">
        <f>VLOOKUP(Table1[[#This Row],[ID TOKO]],Data_Aktual,4,FALSE)</f>
        <v>#N/A</v>
      </c>
      <c r="O207" s="29" t="s">
        <v>2429</v>
      </c>
      <c r="R207" s="5"/>
      <c r="S207" s="5"/>
    </row>
    <row r="208" spans="1:19" s="1" customFormat="1" ht="20.25" customHeight="1" x14ac:dyDescent="0.25">
      <c r="A208" s="1">
        <v>1</v>
      </c>
      <c r="B208" s="23">
        <v>202</v>
      </c>
      <c r="C208" s="24" t="s">
        <v>13</v>
      </c>
      <c r="D208" s="24" t="s">
        <v>1199</v>
      </c>
      <c r="E208" s="24"/>
      <c r="F208" s="24" t="s">
        <v>1200</v>
      </c>
      <c r="G208" s="25" t="s">
        <v>1201</v>
      </c>
      <c r="H208" s="24" t="s">
        <v>1021</v>
      </c>
      <c r="I208" s="24" t="s">
        <v>918</v>
      </c>
      <c r="J208" s="24" t="s">
        <v>919</v>
      </c>
      <c r="K208" s="24" t="s">
        <v>919</v>
      </c>
      <c r="L208" s="26" t="s">
        <v>1202</v>
      </c>
      <c r="M208" s="30"/>
      <c r="N208" s="28" t="e">
        <f>VLOOKUP(Table1[[#This Row],[ID TOKO]],Data_Aktual,4,FALSE)</f>
        <v>#N/A</v>
      </c>
      <c r="O208" s="29" t="s">
        <v>2396</v>
      </c>
      <c r="R208" s="5"/>
      <c r="S208" s="5"/>
    </row>
    <row r="209" spans="1:19" s="1" customFormat="1" ht="20.25" customHeight="1" x14ac:dyDescent="0.3">
      <c r="A209" s="1">
        <v>1</v>
      </c>
      <c r="B209" s="23">
        <v>203</v>
      </c>
      <c r="C209" s="24" t="s">
        <v>13</v>
      </c>
      <c r="D209" s="24" t="s">
        <v>1203</v>
      </c>
      <c r="E209" s="24"/>
      <c r="F209" s="24" t="s">
        <v>1204</v>
      </c>
      <c r="G209" s="25" t="s">
        <v>1205</v>
      </c>
      <c r="H209" s="24" t="s">
        <v>975</v>
      </c>
      <c r="I209" s="24" t="s">
        <v>918</v>
      </c>
      <c r="J209" s="24" t="s">
        <v>976</v>
      </c>
      <c r="K209" s="24" t="s">
        <v>919</v>
      </c>
      <c r="L209" s="26" t="s">
        <v>1206</v>
      </c>
      <c r="M209" s="27" t="s">
        <v>1207</v>
      </c>
      <c r="N209" s="28" t="e">
        <f>VLOOKUP(Table1[[#This Row],[ID TOKO]],Data_Aktual,4,FALSE)</f>
        <v>#N/A</v>
      </c>
      <c r="O209" s="29" t="s">
        <v>2394</v>
      </c>
      <c r="R209" s="5"/>
      <c r="S209" s="5"/>
    </row>
    <row r="210" spans="1:19" s="1" customFormat="1" ht="20.25" customHeight="1" x14ac:dyDescent="0.3">
      <c r="A210" s="1">
        <v>1</v>
      </c>
      <c r="B210" s="23">
        <v>204</v>
      </c>
      <c r="C210" s="24" t="s">
        <v>13</v>
      </c>
      <c r="D210" s="24" t="s">
        <v>1208</v>
      </c>
      <c r="E210" s="24"/>
      <c r="F210" s="24" t="s">
        <v>1209</v>
      </c>
      <c r="G210" s="25" t="s">
        <v>1210</v>
      </c>
      <c r="H210" s="24" t="s">
        <v>933</v>
      </c>
      <c r="I210" s="24" t="s">
        <v>918</v>
      </c>
      <c r="J210" s="24" t="s">
        <v>919</v>
      </c>
      <c r="K210" s="24" t="s">
        <v>919</v>
      </c>
      <c r="L210" s="26" t="s">
        <v>1099</v>
      </c>
      <c r="M210" s="27" t="s">
        <v>1100</v>
      </c>
      <c r="N210" s="28" t="e">
        <f>VLOOKUP(Table1[[#This Row],[ID TOKO]],Data_Aktual,4,FALSE)</f>
        <v>#N/A</v>
      </c>
      <c r="O210" s="29" t="s">
        <v>3122</v>
      </c>
      <c r="R210" s="5"/>
      <c r="S210" s="5"/>
    </row>
    <row r="211" spans="1:19" s="1" customFormat="1" ht="20.25" customHeight="1" x14ac:dyDescent="0.25">
      <c r="A211" s="1">
        <v>1</v>
      </c>
      <c r="B211" s="23">
        <v>205</v>
      </c>
      <c r="C211" s="24" t="s">
        <v>13</v>
      </c>
      <c r="D211" s="24" t="s">
        <v>1211</v>
      </c>
      <c r="E211" s="24" t="s">
        <v>1212</v>
      </c>
      <c r="F211" s="24" t="s">
        <v>915</v>
      </c>
      <c r="G211" s="25" t="s">
        <v>1213</v>
      </c>
      <c r="H211" s="24" t="s">
        <v>1214</v>
      </c>
      <c r="I211" s="24" t="s">
        <v>1215</v>
      </c>
      <c r="J211" s="24" t="s">
        <v>1216</v>
      </c>
      <c r="K211" s="24" t="s">
        <v>1216</v>
      </c>
      <c r="L211" s="26" t="s">
        <v>1217</v>
      </c>
      <c r="M211" s="25"/>
      <c r="N211" s="28" t="e">
        <f>VLOOKUP(Table1[[#This Row],[ID TOKO]],Data_Aktual,4,FALSE)</f>
        <v>#N/A</v>
      </c>
      <c r="O211" s="29" t="s">
        <v>2752</v>
      </c>
      <c r="R211" s="5"/>
      <c r="S211" s="5"/>
    </row>
    <row r="212" spans="1:19" s="1" customFormat="1" ht="20.25" customHeight="1" x14ac:dyDescent="0.25">
      <c r="A212" s="1">
        <v>1</v>
      </c>
      <c r="B212" s="23">
        <v>206</v>
      </c>
      <c r="C212" s="24" t="s">
        <v>13</v>
      </c>
      <c r="D212" s="24" t="s">
        <v>1218</v>
      </c>
      <c r="E212" s="24" t="s">
        <v>1219</v>
      </c>
      <c r="F212" s="24" t="s">
        <v>1220</v>
      </c>
      <c r="G212" s="33" t="s">
        <v>1221</v>
      </c>
      <c r="H212" s="24" t="s">
        <v>1222</v>
      </c>
      <c r="I212" s="24" t="s">
        <v>1215</v>
      </c>
      <c r="J212" s="24" t="s">
        <v>1216</v>
      </c>
      <c r="K212" s="24" t="s">
        <v>1216</v>
      </c>
      <c r="L212" s="26" t="s">
        <v>1223</v>
      </c>
      <c r="M212" s="25"/>
      <c r="N212" s="28" t="e">
        <f>VLOOKUP(Table1[[#This Row],[ID TOKO]],Data_Aktual,4,FALSE)</f>
        <v>#N/A</v>
      </c>
      <c r="O212" s="29" t="s">
        <v>2750</v>
      </c>
      <c r="R212" s="5"/>
      <c r="S212" s="5"/>
    </row>
    <row r="213" spans="1:19" s="1" customFormat="1" ht="20.25" customHeight="1" x14ac:dyDescent="0.3">
      <c r="A213" s="1">
        <v>1</v>
      </c>
      <c r="B213" s="23">
        <v>207</v>
      </c>
      <c r="C213" s="24" t="s">
        <v>13</v>
      </c>
      <c r="D213" s="24" t="s">
        <v>1224</v>
      </c>
      <c r="E213" s="24" t="s">
        <v>1225</v>
      </c>
      <c r="F213" s="24" t="s">
        <v>1226</v>
      </c>
      <c r="G213" s="25" t="s">
        <v>1227</v>
      </c>
      <c r="H213" s="24" t="s">
        <v>1214</v>
      </c>
      <c r="I213" s="24" t="s">
        <v>1215</v>
      </c>
      <c r="J213" s="24" t="s">
        <v>1216</v>
      </c>
      <c r="K213" s="24" t="s">
        <v>1216</v>
      </c>
      <c r="L213" s="26" t="s">
        <v>1228</v>
      </c>
      <c r="M213" s="27" t="s">
        <v>1229</v>
      </c>
      <c r="N213" s="28" t="e">
        <f>VLOOKUP(Table1[[#This Row],[ID TOKO]],Data_Aktual,4,FALSE)</f>
        <v>#N/A</v>
      </c>
      <c r="O213" s="29" t="s">
        <v>2748</v>
      </c>
      <c r="R213" s="5"/>
      <c r="S213" s="5"/>
    </row>
    <row r="214" spans="1:19" s="1" customFormat="1" ht="20.25" customHeight="1" x14ac:dyDescent="0.25">
      <c r="A214" s="1">
        <v>1</v>
      </c>
      <c r="B214" s="23">
        <v>208</v>
      </c>
      <c r="C214" s="24" t="s">
        <v>13</v>
      </c>
      <c r="D214" s="24" t="s">
        <v>1230</v>
      </c>
      <c r="E214" s="24" t="s">
        <v>1231</v>
      </c>
      <c r="F214" s="24" t="s">
        <v>1232</v>
      </c>
      <c r="G214" s="33" t="s">
        <v>1233</v>
      </c>
      <c r="H214" s="24" t="s">
        <v>1234</v>
      </c>
      <c r="I214" s="24" t="s">
        <v>1215</v>
      </c>
      <c r="J214" s="24" t="s">
        <v>1216</v>
      </c>
      <c r="K214" s="24" t="s">
        <v>1216</v>
      </c>
      <c r="L214" s="26" t="s">
        <v>1235</v>
      </c>
      <c r="M214" s="25"/>
      <c r="N214" s="28" t="e">
        <f>VLOOKUP(Table1[[#This Row],[ID TOKO]],Data_Aktual,4,FALSE)</f>
        <v>#N/A</v>
      </c>
      <c r="O214" s="29" t="s">
        <v>2746</v>
      </c>
      <c r="R214" s="5"/>
      <c r="S214" s="5"/>
    </row>
    <row r="215" spans="1:19" s="1" customFormat="1" ht="20.25" customHeight="1" x14ac:dyDescent="0.3">
      <c r="A215" s="1">
        <v>1</v>
      </c>
      <c r="B215" s="23">
        <v>209</v>
      </c>
      <c r="C215" s="24" t="s">
        <v>13</v>
      </c>
      <c r="D215" s="24" t="s">
        <v>1236</v>
      </c>
      <c r="E215" s="24" t="s">
        <v>1237</v>
      </c>
      <c r="F215" s="24" t="s">
        <v>314</v>
      </c>
      <c r="G215" s="25" t="s">
        <v>1238</v>
      </c>
      <c r="H215" s="24" t="s">
        <v>1239</v>
      </c>
      <c r="I215" s="24" t="s">
        <v>1215</v>
      </c>
      <c r="J215" s="24" t="s">
        <v>1216</v>
      </c>
      <c r="K215" s="24" t="s">
        <v>1216</v>
      </c>
      <c r="L215" s="26" t="s">
        <v>1240</v>
      </c>
      <c r="M215" s="27" t="s">
        <v>1241</v>
      </c>
      <c r="N215" s="28" t="e">
        <f>VLOOKUP(Table1[[#This Row],[ID TOKO]],Data_Aktual,4,FALSE)</f>
        <v>#N/A</v>
      </c>
      <c r="O215" s="29" t="s">
        <v>2744</v>
      </c>
      <c r="R215" s="5"/>
      <c r="S215" s="5"/>
    </row>
    <row r="216" spans="1:19" s="1" customFormat="1" ht="20.25" customHeight="1" x14ac:dyDescent="0.3">
      <c r="A216" s="1">
        <v>1</v>
      </c>
      <c r="B216" s="23">
        <v>210</v>
      </c>
      <c r="C216" s="24" t="s">
        <v>13</v>
      </c>
      <c r="D216" s="24" t="s">
        <v>1242</v>
      </c>
      <c r="E216" s="24" t="s">
        <v>1243</v>
      </c>
      <c r="F216" s="24" t="s">
        <v>1244</v>
      </c>
      <c r="G216" s="25" t="s">
        <v>1245</v>
      </c>
      <c r="H216" s="24" t="s">
        <v>1214</v>
      </c>
      <c r="I216" s="24" t="s">
        <v>1215</v>
      </c>
      <c r="J216" s="24" t="s">
        <v>1216</v>
      </c>
      <c r="K216" s="24" t="s">
        <v>1216</v>
      </c>
      <c r="L216" s="26" t="s">
        <v>1246</v>
      </c>
      <c r="M216" s="27" t="s">
        <v>1247</v>
      </c>
      <c r="N216" s="28" t="e">
        <f>VLOOKUP(Table1[[#This Row],[ID TOKO]],Data_Aktual,4,FALSE)</f>
        <v>#N/A</v>
      </c>
      <c r="O216" s="29" t="s">
        <v>2742</v>
      </c>
      <c r="R216" s="5"/>
      <c r="S216" s="5"/>
    </row>
    <row r="217" spans="1:19" s="1" customFormat="1" ht="20.25" customHeight="1" x14ac:dyDescent="0.3">
      <c r="A217" s="1">
        <v>1</v>
      </c>
      <c r="B217" s="23">
        <v>211</v>
      </c>
      <c r="C217" s="24" t="s">
        <v>13</v>
      </c>
      <c r="D217" s="24" t="s">
        <v>1248</v>
      </c>
      <c r="E217" s="24" t="s">
        <v>1249</v>
      </c>
      <c r="F217" s="24" t="s">
        <v>1250</v>
      </c>
      <c r="G217" s="25" t="s">
        <v>1251</v>
      </c>
      <c r="H217" s="24" t="s">
        <v>1234</v>
      </c>
      <c r="I217" s="24" t="s">
        <v>1215</v>
      </c>
      <c r="J217" s="24" t="s">
        <v>1216</v>
      </c>
      <c r="K217" s="24" t="s">
        <v>1216</v>
      </c>
      <c r="L217" s="26" t="s">
        <v>1252</v>
      </c>
      <c r="M217" s="27" t="s">
        <v>1253</v>
      </c>
      <c r="N217" s="28" t="e">
        <f>VLOOKUP(Table1[[#This Row],[ID TOKO]],Data_Aktual,4,FALSE)</f>
        <v>#N/A</v>
      </c>
      <c r="O217" s="29" t="s">
        <v>2740</v>
      </c>
      <c r="R217" s="5"/>
      <c r="S217" s="5"/>
    </row>
    <row r="218" spans="1:19" s="1" customFormat="1" ht="20.25" customHeight="1" x14ac:dyDescent="0.3">
      <c r="A218" s="1">
        <v>1</v>
      </c>
      <c r="B218" s="23">
        <v>212</v>
      </c>
      <c r="C218" s="24" t="s">
        <v>13</v>
      </c>
      <c r="D218" s="24" t="s">
        <v>1254</v>
      </c>
      <c r="E218" s="24" t="s">
        <v>1255</v>
      </c>
      <c r="F218" s="24" t="s">
        <v>931</v>
      </c>
      <c r="G218" s="25" t="s">
        <v>1256</v>
      </c>
      <c r="H218" s="24" t="s">
        <v>1214</v>
      </c>
      <c r="I218" s="24" t="s">
        <v>1215</v>
      </c>
      <c r="J218" s="24" t="s">
        <v>1216</v>
      </c>
      <c r="K218" s="24" t="s">
        <v>1216</v>
      </c>
      <c r="L218" s="26" t="s">
        <v>1257</v>
      </c>
      <c r="M218" s="27" t="s">
        <v>1258</v>
      </c>
      <c r="N218" s="28" t="e">
        <f>VLOOKUP(Table1[[#This Row],[ID TOKO]],Data_Aktual,4,FALSE)</f>
        <v>#N/A</v>
      </c>
      <c r="O218" s="29" t="s">
        <v>2738</v>
      </c>
      <c r="R218" s="5"/>
      <c r="S218" s="5"/>
    </row>
    <row r="219" spans="1:19" s="1" customFormat="1" ht="20.25" customHeight="1" x14ac:dyDescent="0.3">
      <c r="A219" s="1">
        <v>1</v>
      </c>
      <c r="B219" s="23">
        <v>213</v>
      </c>
      <c r="C219" s="24" t="s">
        <v>13</v>
      </c>
      <c r="D219" s="24" t="s">
        <v>1259</v>
      </c>
      <c r="E219" s="24" t="s">
        <v>1260</v>
      </c>
      <c r="F219" s="24" t="s">
        <v>1261</v>
      </c>
      <c r="G219" s="25" t="s">
        <v>1262</v>
      </c>
      <c r="H219" s="24" t="s">
        <v>1263</v>
      </c>
      <c r="I219" s="24" t="s">
        <v>1215</v>
      </c>
      <c r="J219" s="24" t="s">
        <v>1216</v>
      </c>
      <c r="K219" s="24" t="s">
        <v>1216</v>
      </c>
      <c r="L219" s="26" t="s">
        <v>1264</v>
      </c>
      <c r="M219" s="27" t="s">
        <v>1265</v>
      </c>
      <c r="N219" s="28" t="e">
        <f>VLOOKUP(Table1[[#This Row],[ID TOKO]],Data_Aktual,4,FALSE)</f>
        <v>#N/A</v>
      </c>
      <c r="O219" s="29" t="s">
        <v>2736</v>
      </c>
      <c r="R219" s="5"/>
      <c r="S219" s="5"/>
    </row>
    <row r="220" spans="1:19" s="1" customFormat="1" ht="20.25" customHeight="1" x14ac:dyDescent="0.3">
      <c r="A220" s="1">
        <v>1</v>
      </c>
      <c r="B220" s="23">
        <v>214</v>
      </c>
      <c r="C220" s="24" t="s">
        <v>13</v>
      </c>
      <c r="D220" s="24" t="s">
        <v>1266</v>
      </c>
      <c r="E220" s="24" t="s">
        <v>1267</v>
      </c>
      <c r="F220" s="25" t="s">
        <v>1268</v>
      </c>
      <c r="G220" s="25" t="s">
        <v>1269</v>
      </c>
      <c r="H220" s="25" t="s">
        <v>1263</v>
      </c>
      <c r="I220" s="24" t="s">
        <v>1215</v>
      </c>
      <c r="J220" s="25" t="s">
        <v>1216</v>
      </c>
      <c r="K220" s="25" t="s">
        <v>1216</v>
      </c>
      <c r="L220" s="25" t="s">
        <v>1270</v>
      </c>
      <c r="M220" s="27" t="s">
        <v>1271</v>
      </c>
      <c r="N220" s="28" t="e">
        <f>VLOOKUP(Table1[[#This Row],[ID TOKO]],Data_Aktual,4,FALSE)</f>
        <v>#N/A</v>
      </c>
      <c r="O220" s="29" t="s">
        <v>2734</v>
      </c>
      <c r="R220" s="5"/>
      <c r="S220" s="5"/>
    </row>
    <row r="221" spans="1:19" s="1" customFormat="1" ht="20.25" customHeight="1" x14ac:dyDescent="0.3">
      <c r="A221" s="1">
        <v>1</v>
      </c>
      <c r="B221" s="23">
        <v>215</v>
      </c>
      <c r="C221" s="24" t="s">
        <v>13</v>
      </c>
      <c r="D221" s="24" t="s">
        <v>1272</v>
      </c>
      <c r="E221" s="24" t="s">
        <v>1273</v>
      </c>
      <c r="F221" s="24" t="s">
        <v>1274</v>
      </c>
      <c r="G221" s="25" t="s">
        <v>1275</v>
      </c>
      <c r="H221" s="24" t="s">
        <v>1276</v>
      </c>
      <c r="I221" s="24" t="s">
        <v>1215</v>
      </c>
      <c r="J221" s="24" t="s">
        <v>1216</v>
      </c>
      <c r="K221" s="24" t="s">
        <v>1216</v>
      </c>
      <c r="L221" s="26" t="s">
        <v>1277</v>
      </c>
      <c r="M221" s="27" t="s">
        <v>1278</v>
      </c>
      <c r="N221" s="28" t="e">
        <f>VLOOKUP(Table1[[#This Row],[ID TOKO]],Data_Aktual,4,FALSE)</f>
        <v>#N/A</v>
      </c>
      <c r="O221" s="29" t="s">
        <v>2732</v>
      </c>
      <c r="R221" s="5"/>
      <c r="S221" s="5"/>
    </row>
    <row r="222" spans="1:19" s="1" customFormat="1" ht="20.25" customHeight="1" x14ac:dyDescent="0.3">
      <c r="A222" s="1">
        <v>1</v>
      </c>
      <c r="B222" s="23">
        <v>216</v>
      </c>
      <c r="C222" s="24" t="s">
        <v>13</v>
      </c>
      <c r="D222" s="24" t="s">
        <v>1279</v>
      </c>
      <c r="E222" s="24" t="s">
        <v>1280</v>
      </c>
      <c r="F222" s="24" t="s">
        <v>1281</v>
      </c>
      <c r="G222" s="25" t="s">
        <v>1282</v>
      </c>
      <c r="H222" s="24" t="s">
        <v>1214</v>
      </c>
      <c r="I222" s="24" t="s">
        <v>1215</v>
      </c>
      <c r="J222" s="24" t="s">
        <v>1216</v>
      </c>
      <c r="K222" s="24" t="s">
        <v>1216</v>
      </c>
      <c r="L222" s="26" t="s">
        <v>1283</v>
      </c>
      <c r="M222" s="27" t="s">
        <v>1284</v>
      </c>
      <c r="N222" s="28" t="e">
        <f>VLOOKUP(Table1[[#This Row],[ID TOKO]],Data_Aktual,4,FALSE)</f>
        <v>#N/A</v>
      </c>
      <c r="O222" s="29" t="s">
        <v>2730</v>
      </c>
      <c r="R222" s="5"/>
      <c r="S222" s="5"/>
    </row>
    <row r="223" spans="1:19" s="1" customFormat="1" ht="20.25" customHeight="1" x14ac:dyDescent="0.3">
      <c r="A223" s="1">
        <v>1</v>
      </c>
      <c r="B223" s="23">
        <v>217</v>
      </c>
      <c r="C223" s="24" t="s">
        <v>13</v>
      </c>
      <c r="D223" s="24" t="s">
        <v>1285</v>
      </c>
      <c r="E223" s="24" t="s">
        <v>1286</v>
      </c>
      <c r="F223" s="24" t="s">
        <v>1287</v>
      </c>
      <c r="G223" s="25" t="s">
        <v>1288</v>
      </c>
      <c r="H223" s="25" t="s">
        <v>1263</v>
      </c>
      <c r="I223" s="24" t="s">
        <v>1215</v>
      </c>
      <c r="J223" s="25" t="s">
        <v>1216</v>
      </c>
      <c r="K223" s="24" t="s">
        <v>1216</v>
      </c>
      <c r="L223" s="26" t="s">
        <v>1289</v>
      </c>
      <c r="M223" s="27" t="s">
        <v>1290</v>
      </c>
      <c r="N223" s="28" t="e">
        <f>VLOOKUP(Table1[[#This Row],[ID TOKO]],Data_Aktual,4,FALSE)</f>
        <v>#N/A</v>
      </c>
      <c r="O223" s="29" t="s">
        <v>2728</v>
      </c>
      <c r="R223" s="5"/>
      <c r="S223" s="5"/>
    </row>
    <row r="224" spans="1:19" s="1" customFormat="1" ht="20.25" customHeight="1" x14ac:dyDescent="0.3">
      <c r="A224" s="1">
        <v>1</v>
      </c>
      <c r="B224" s="23">
        <v>218</v>
      </c>
      <c r="C224" s="24" t="s">
        <v>13</v>
      </c>
      <c r="D224" s="24" t="s">
        <v>1291</v>
      </c>
      <c r="E224" s="24" t="s">
        <v>1292</v>
      </c>
      <c r="F224" s="24" t="s">
        <v>1293</v>
      </c>
      <c r="G224" s="25" t="s">
        <v>1294</v>
      </c>
      <c r="H224" s="24" t="s">
        <v>1295</v>
      </c>
      <c r="I224" s="24" t="s">
        <v>1215</v>
      </c>
      <c r="J224" s="24" t="s">
        <v>1216</v>
      </c>
      <c r="K224" s="24" t="s">
        <v>1216</v>
      </c>
      <c r="L224" s="26" t="s">
        <v>1296</v>
      </c>
      <c r="M224" s="27" t="s">
        <v>1297</v>
      </c>
      <c r="N224" s="28" t="e">
        <f>VLOOKUP(Table1[[#This Row],[ID TOKO]],Data_Aktual,4,FALSE)</f>
        <v>#N/A</v>
      </c>
      <c r="O224" s="29" t="s">
        <v>2726</v>
      </c>
      <c r="R224" s="5"/>
      <c r="S224" s="5"/>
    </row>
    <row r="225" spans="1:20" s="4" customFormat="1" ht="20.25" customHeight="1" x14ac:dyDescent="0.3">
      <c r="A225" s="1">
        <v>1</v>
      </c>
      <c r="B225" s="23">
        <v>219</v>
      </c>
      <c r="C225" s="24" t="s">
        <v>13</v>
      </c>
      <c r="D225" s="24" t="s">
        <v>1298</v>
      </c>
      <c r="E225" s="24" t="s">
        <v>1299</v>
      </c>
      <c r="F225" s="25" t="s">
        <v>1300</v>
      </c>
      <c r="G225" s="25" t="s">
        <v>1301</v>
      </c>
      <c r="H225" s="25" t="s">
        <v>1263</v>
      </c>
      <c r="I225" s="24" t="s">
        <v>1215</v>
      </c>
      <c r="J225" s="25" t="s">
        <v>1216</v>
      </c>
      <c r="K225" s="25" t="s">
        <v>1216</v>
      </c>
      <c r="L225" s="26" t="s">
        <v>1302</v>
      </c>
      <c r="M225" s="27" t="s">
        <v>1303</v>
      </c>
      <c r="N225" s="28" t="e">
        <f>VLOOKUP(Table1[[#This Row],[ID TOKO]],Data_Aktual,4,FALSE)</f>
        <v>#N/A</v>
      </c>
      <c r="O225" s="29" t="s">
        <v>2724</v>
      </c>
      <c r="P225" s="1"/>
      <c r="R225" s="5"/>
      <c r="S225" s="5"/>
      <c r="T225" s="1"/>
    </row>
    <row r="226" spans="1:20" s="4" customFormat="1" ht="20.25" customHeight="1" x14ac:dyDescent="0.25">
      <c r="A226" s="1">
        <v>1</v>
      </c>
      <c r="B226" s="23">
        <v>220</v>
      </c>
      <c r="C226" s="24" t="s">
        <v>13</v>
      </c>
      <c r="D226" s="24" t="s">
        <v>1304</v>
      </c>
      <c r="E226" s="24" t="s">
        <v>1305</v>
      </c>
      <c r="F226" s="24" t="s">
        <v>1306</v>
      </c>
      <c r="G226" s="25" t="s">
        <v>1307</v>
      </c>
      <c r="H226" s="24" t="s">
        <v>1214</v>
      </c>
      <c r="I226" s="24" t="s">
        <v>1215</v>
      </c>
      <c r="J226" s="25" t="s">
        <v>1216</v>
      </c>
      <c r="K226" s="24" t="s">
        <v>1216</v>
      </c>
      <c r="L226" s="26" t="s">
        <v>1308</v>
      </c>
      <c r="M226" s="25"/>
      <c r="N226" s="28" t="e">
        <f>VLOOKUP(Table1[[#This Row],[ID TOKO]],Data_Aktual,4,FALSE)</f>
        <v>#N/A</v>
      </c>
      <c r="O226" s="29" t="s">
        <v>2722</v>
      </c>
      <c r="P226" s="1"/>
      <c r="R226" s="5"/>
      <c r="S226" s="5"/>
      <c r="T226" s="1"/>
    </row>
    <row r="227" spans="1:20" s="1" customFormat="1" ht="20.25" customHeight="1" x14ac:dyDescent="0.25">
      <c r="A227" s="1">
        <v>1</v>
      </c>
      <c r="B227" s="23">
        <v>221</v>
      </c>
      <c r="C227" s="24" t="s">
        <v>13</v>
      </c>
      <c r="D227" s="24" t="s">
        <v>1309</v>
      </c>
      <c r="E227" s="24" t="s">
        <v>1310</v>
      </c>
      <c r="F227" s="24" t="s">
        <v>1311</v>
      </c>
      <c r="G227" s="25" t="s">
        <v>1312</v>
      </c>
      <c r="H227" s="24" t="s">
        <v>1313</v>
      </c>
      <c r="I227" s="24" t="s">
        <v>1215</v>
      </c>
      <c r="J227" s="24" t="s">
        <v>1216</v>
      </c>
      <c r="K227" s="24" t="s">
        <v>1216</v>
      </c>
      <c r="L227" s="26" t="s">
        <v>1314</v>
      </c>
      <c r="M227" s="25"/>
      <c r="N227" s="28" t="e">
        <f>VLOOKUP(Table1[[#This Row],[ID TOKO]],Data_Aktual,4,FALSE)</f>
        <v>#N/A</v>
      </c>
      <c r="O227" s="29" t="s">
        <v>2720</v>
      </c>
      <c r="R227" s="5"/>
      <c r="S227" s="5"/>
    </row>
    <row r="228" spans="1:20" s="1" customFormat="1" ht="20.25" customHeight="1" x14ac:dyDescent="0.3">
      <c r="A228" s="1">
        <v>1</v>
      </c>
      <c r="B228" s="23">
        <v>222</v>
      </c>
      <c r="C228" s="24" t="s">
        <v>13</v>
      </c>
      <c r="D228" s="24" t="s">
        <v>1315</v>
      </c>
      <c r="E228" s="24" t="s">
        <v>1316</v>
      </c>
      <c r="F228" s="24" t="s">
        <v>1317</v>
      </c>
      <c r="G228" s="25" t="s">
        <v>1318</v>
      </c>
      <c r="H228" s="24" t="s">
        <v>1319</v>
      </c>
      <c r="I228" s="24" t="s">
        <v>1215</v>
      </c>
      <c r="J228" s="24" t="s">
        <v>1216</v>
      </c>
      <c r="K228" s="24" t="s">
        <v>1216</v>
      </c>
      <c r="L228" s="26" t="s">
        <v>1320</v>
      </c>
      <c r="M228" s="27" t="s">
        <v>1321</v>
      </c>
      <c r="N228" s="28" t="e">
        <f>VLOOKUP(Table1[[#This Row],[ID TOKO]],Data_Aktual,4,FALSE)</f>
        <v>#N/A</v>
      </c>
      <c r="O228" s="29" t="s">
        <v>2718</v>
      </c>
      <c r="R228" s="5"/>
      <c r="S228" s="5"/>
    </row>
    <row r="229" spans="1:20" s="1" customFormat="1" ht="20.25" customHeight="1" x14ac:dyDescent="0.25">
      <c r="A229" s="1">
        <v>1</v>
      </c>
      <c r="B229" s="23">
        <v>223</v>
      </c>
      <c r="C229" s="24" t="s">
        <v>13</v>
      </c>
      <c r="D229" s="24" t="s">
        <v>1322</v>
      </c>
      <c r="E229" s="24" t="s">
        <v>1323</v>
      </c>
      <c r="F229" s="24" t="s">
        <v>1324</v>
      </c>
      <c r="G229" s="24" t="s">
        <v>1325</v>
      </c>
      <c r="H229" s="24" t="s">
        <v>1214</v>
      </c>
      <c r="I229" s="24" t="s">
        <v>1215</v>
      </c>
      <c r="J229" s="24" t="s">
        <v>1216</v>
      </c>
      <c r="K229" s="24" t="s">
        <v>1216</v>
      </c>
      <c r="L229" s="26" t="s">
        <v>1326</v>
      </c>
      <c r="M229" s="25"/>
      <c r="N229" s="28" t="e">
        <f>VLOOKUP(Table1[[#This Row],[ID TOKO]],Data_Aktual,4,FALSE)</f>
        <v>#N/A</v>
      </c>
      <c r="O229" s="29" t="s">
        <v>2716</v>
      </c>
      <c r="R229" s="5"/>
      <c r="S229" s="5"/>
    </row>
    <row r="230" spans="1:20" s="1" customFormat="1" ht="20.25" customHeight="1" x14ac:dyDescent="0.3">
      <c r="A230" s="1">
        <v>1</v>
      </c>
      <c r="B230" s="23">
        <v>224</v>
      </c>
      <c r="C230" s="24" t="s">
        <v>13</v>
      </c>
      <c r="D230" s="24" t="s">
        <v>1327</v>
      </c>
      <c r="E230" s="24" t="s">
        <v>1328</v>
      </c>
      <c r="F230" s="24" t="s">
        <v>1329</v>
      </c>
      <c r="G230" s="25" t="s">
        <v>1330</v>
      </c>
      <c r="H230" s="24" t="s">
        <v>1331</v>
      </c>
      <c r="I230" s="24" t="s">
        <v>1215</v>
      </c>
      <c r="J230" s="24" t="s">
        <v>1216</v>
      </c>
      <c r="K230" s="24" t="s">
        <v>1216</v>
      </c>
      <c r="L230" s="26" t="s">
        <v>1332</v>
      </c>
      <c r="M230" s="27" t="s">
        <v>1333</v>
      </c>
      <c r="N230" s="28" t="e">
        <f>VLOOKUP(Table1[[#This Row],[ID TOKO]],Data_Aktual,4,FALSE)</f>
        <v>#N/A</v>
      </c>
      <c r="O230" s="29" t="s">
        <v>2714</v>
      </c>
      <c r="R230" s="5"/>
      <c r="S230" s="5"/>
    </row>
    <row r="231" spans="1:20" s="1" customFormat="1" ht="20.25" customHeight="1" x14ac:dyDescent="0.25">
      <c r="A231" s="1">
        <v>1</v>
      </c>
      <c r="B231" s="23">
        <v>225</v>
      </c>
      <c r="C231" s="24" t="s">
        <v>13</v>
      </c>
      <c r="D231" s="24" t="s">
        <v>1334</v>
      </c>
      <c r="E231" s="24" t="s">
        <v>1335</v>
      </c>
      <c r="F231" s="24" t="s">
        <v>1336</v>
      </c>
      <c r="G231" s="25" t="s">
        <v>1337</v>
      </c>
      <c r="H231" s="24" t="s">
        <v>1214</v>
      </c>
      <c r="I231" s="24" t="s">
        <v>1215</v>
      </c>
      <c r="J231" s="24" t="s">
        <v>1216</v>
      </c>
      <c r="K231" s="24" t="s">
        <v>1216</v>
      </c>
      <c r="L231" s="26" t="s">
        <v>1338</v>
      </c>
      <c r="M231" s="25"/>
      <c r="N231" s="28" t="e">
        <f>VLOOKUP(Table1[[#This Row],[ID TOKO]],Data_Aktual,4,FALSE)</f>
        <v>#N/A</v>
      </c>
      <c r="O231" s="29" t="s">
        <v>2712</v>
      </c>
      <c r="R231" s="5"/>
      <c r="S231" s="5"/>
    </row>
    <row r="232" spans="1:20" s="1" customFormat="1" ht="20.25" customHeight="1" x14ac:dyDescent="0.25">
      <c r="A232" s="1">
        <v>1</v>
      </c>
      <c r="B232" s="23">
        <v>226</v>
      </c>
      <c r="C232" s="24" t="s">
        <v>13</v>
      </c>
      <c r="D232" s="24" t="s">
        <v>1339</v>
      </c>
      <c r="E232" s="24" t="s">
        <v>1340</v>
      </c>
      <c r="F232" s="25" t="s">
        <v>1341</v>
      </c>
      <c r="G232" s="25" t="s">
        <v>1342</v>
      </c>
      <c r="H232" s="25" t="s">
        <v>1214</v>
      </c>
      <c r="I232" s="24" t="s">
        <v>1215</v>
      </c>
      <c r="J232" s="25" t="s">
        <v>1216</v>
      </c>
      <c r="K232" s="24" t="s">
        <v>1216</v>
      </c>
      <c r="L232" s="26" t="s">
        <v>1343</v>
      </c>
      <c r="M232" s="25"/>
      <c r="N232" s="28" t="e">
        <f>VLOOKUP(Table1[[#This Row],[ID TOKO]],Data_Aktual,4,FALSE)</f>
        <v>#N/A</v>
      </c>
      <c r="O232" s="29" t="s">
        <v>2710</v>
      </c>
      <c r="R232" s="5"/>
      <c r="S232" s="5"/>
    </row>
    <row r="233" spans="1:20" s="1" customFormat="1" ht="20.25" customHeight="1" x14ac:dyDescent="0.25">
      <c r="A233" s="1">
        <v>1</v>
      </c>
      <c r="B233" s="23">
        <v>227</v>
      </c>
      <c r="C233" s="24" t="s">
        <v>13</v>
      </c>
      <c r="D233" s="24" t="s">
        <v>1344</v>
      </c>
      <c r="E233" s="24" t="s">
        <v>1345</v>
      </c>
      <c r="F233" s="24" t="s">
        <v>1346</v>
      </c>
      <c r="G233" s="33" t="s">
        <v>1347</v>
      </c>
      <c r="H233" s="24" t="s">
        <v>1348</v>
      </c>
      <c r="I233" s="24" t="s">
        <v>1215</v>
      </c>
      <c r="J233" s="24" t="s">
        <v>1216</v>
      </c>
      <c r="K233" s="24" t="s">
        <v>1216</v>
      </c>
      <c r="L233" s="26" t="s">
        <v>1349</v>
      </c>
      <c r="M233" s="25"/>
      <c r="N233" s="28" t="e">
        <f>VLOOKUP(Table1[[#This Row],[ID TOKO]],Data_Aktual,4,FALSE)</f>
        <v>#N/A</v>
      </c>
      <c r="O233" s="29" t="s">
        <v>2708</v>
      </c>
      <c r="R233" s="5"/>
      <c r="S233" s="5"/>
    </row>
    <row r="234" spans="1:20" s="1" customFormat="1" ht="20.25" customHeight="1" x14ac:dyDescent="0.3">
      <c r="A234" s="1">
        <v>1</v>
      </c>
      <c r="B234" s="23">
        <v>228</v>
      </c>
      <c r="C234" s="24" t="s">
        <v>13</v>
      </c>
      <c r="D234" s="24" t="s">
        <v>1350</v>
      </c>
      <c r="E234" s="24" t="s">
        <v>1351</v>
      </c>
      <c r="F234" s="25" t="s">
        <v>1352</v>
      </c>
      <c r="G234" s="25" t="s">
        <v>1353</v>
      </c>
      <c r="H234" s="24" t="s">
        <v>1234</v>
      </c>
      <c r="I234" s="24" t="s">
        <v>1215</v>
      </c>
      <c r="J234" s="24" t="s">
        <v>1216</v>
      </c>
      <c r="K234" s="24" t="s">
        <v>1216</v>
      </c>
      <c r="L234" s="26" t="s">
        <v>1354</v>
      </c>
      <c r="M234" s="27" t="s">
        <v>1355</v>
      </c>
      <c r="N234" s="28" t="e">
        <f>VLOOKUP(Table1[[#This Row],[ID TOKO]],Data_Aktual,4,FALSE)</f>
        <v>#N/A</v>
      </c>
      <c r="O234" s="29" t="s">
        <v>2706</v>
      </c>
      <c r="R234" s="5"/>
      <c r="S234" s="5"/>
    </row>
    <row r="235" spans="1:20" s="1" customFormat="1" ht="20.25" customHeight="1" x14ac:dyDescent="0.3">
      <c r="A235" s="1">
        <v>1</v>
      </c>
      <c r="B235" s="23">
        <v>229</v>
      </c>
      <c r="C235" s="24" t="s">
        <v>13</v>
      </c>
      <c r="D235" s="24" t="s">
        <v>1356</v>
      </c>
      <c r="E235" s="24" t="s">
        <v>1357</v>
      </c>
      <c r="F235" s="24" t="s">
        <v>1358</v>
      </c>
      <c r="G235" s="25" t="s">
        <v>1359</v>
      </c>
      <c r="H235" s="24" t="s">
        <v>1360</v>
      </c>
      <c r="I235" s="24" t="s">
        <v>1215</v>
      </c>
      <c r="J235" s="24" t="s">
        <v>1216</v>
      </c>
      <c r="K235" s="24" t="s">
        <v>1216</v>
      </c>
      <c r="L235" s="26" t="s">
        <v>1361</v>
      </c>
      <c r="M235" s="27" t="s">
        <v>1362</v>
      </c>
      <c r="N235" s="28" t="e">
        <f>VLOOKUP(Table1[[#This Row],[ID TOKO]],Data_Aktual,4,FALSE)</f>
        <v>#N/A</v>
      </c>
      <c r="O235" s="29" t="s">
        <v>2704</v>
      </c>
      <c r="R235" s="5"/>
      <c r="S235" s="5"/>
    </row>
    <row r="236" spans="1:20" s="1" customFormat="1" ht="20.25" customHeight="1" x14ac:dyDescent="0.3">
      <c r="A236" s="1">
        <v>1</v>
      </c>
      <c r="B236" s="23">
        <v>230</v>
      </c>
      <c r="C236" s="24" t="s">
        <v>13</v>
      </c>
      <c r="D236" s="24" t="s">
        <v>1363</v>
      </c>
      <c r="E236" s="24" t="s">
        <v>1364</v>
      </c>
      <c r="F236" s="24" t="s">
        <v>1365</v>
      </c>
      <c r="G236" s="25" t="s">
        <v>1366</v>
      </c>
      <c r="H236" s="24" t="s">
        <v>1276</v>
      </c>
      <c r="I236" s="24" t="s">
        <v>1215</v>
      </c>
      <c r="J236" s="24" t="s">
        <v>1216</v>
      </c>
      <c r="K236" s="24" t="s">
        <v>1216</v>
      </c>
      <c r="L236" s="26" t="s">
        <v>1367</v>
      </c>
      <c r="M236" s="27" t="s">
        <v>1368</v>
      </c>
      <c r="N236" s="28" t="e">
        <f>VLOOKUP(Table1[[#This Row],[ID TOKO]],Data_Aktual,4,FALSE)</f>
        <v>#N/A</v>
      </c>
      <c r="O236" s="29" t="s">
        <v>2702</v>
      </c>
      <c r="R236" s="5"/>
      <c r="S236" s="5"/>
    </row>
    <row r="237" spans="1:20" s="1" customFormat="1" ht="20.25" customHeight="1" x14ac:dyDescent="0.3">
      <c r="A237" s="1">
        <v>1</v>
      </c>
      <c r="B237" s="23">
        <v>231</v>
      </c>
      <c r="C237" s="24" t="s">
        <v>13</v>
      </c>
      <c r="D237" s="24" t="s">
        <v>1369</v>
      </c>
      <c r="E237" s="24" t="s">
        <v>1370</v>
      </c>
      <c r="F237" s="24" t="s">
        <v>1371</v>
      </c>
      <c r="G237" s="25" t="s">
        <v>1372</v>
      </c>
      <c r="H237" s="24" t="s">
        <v>1234</v>
      </c>
      <c r="I237" s="24" t="s">
        <v>1215</v>
      </c>
      <c r="J237" s="24" t="s">
        <v>1216</v>
      </c>
      <c r="K237" s="24" t="s">
        <v>1216</v>
      </c>
      <c r="L237" s="26" t="s">
        <v>1373</v>
      </c>
      <c r="M237" s="27" t="s">
        <v>1374</v>
      </c>
      <c r="N237" s="28" t="e">
        <f>VLOOKUP(Table1[[#This Row],[ID TOKO]],Data_Aktual,4,FALSE)</f>
        <v>#N/A</v>
      </c>
      <c r="O237" s="29" t="s">
        <v>2700</v>
      </c>
      <c r="R237" s="5"/>
      <c r="S237" s="5"/>
    </row>
    <row r="238" spans="1:20" s="1" customFormat="1" ht="20.25" customHeight="1" x14ac:dyDescent="0.3">
      <c r="A238" s="1">
        <v>1</v>
      </c>
      <c r="B238" s="23">
        <v>232</v>
      </c>
      <c r="C238" s="24" t="s">
        <v>13</v>
      </c>
      <c r="D238" s="24" t="s">
        <v>1375</v>
      </c>
      <c r="E238" s="24" t="s">
        <v>1376</v>
      </c>
      <c r="F238" s="24" t="s">
        <v>1377</v>
      </c>
      <c r="G238" s="24" t="s">
        <v>1378</v>
      </c>
      <c r="H238" s="24" t="s">
        <v>1214</v>
      </c>
      <c r="I238" s="24" t="s">
        <v>1215</v>
      </c>
      <c r="J238" s="24" t="s">
        <v>1216</v>
      </c>
      <c r="K238" s="24" t="s">
        <v>1216</v>
      </c>
      <c r="L238" s="26" t="s">
        <v>1379</v>
      </c>
      <c r="M238" s="27" t="s">
        <v>1380</v>
      </c>
      <c r="N238" s="28" t="e">
        <f>VLOOKUP(Table1[[#This Row],[ID TOKO]],Data_Aktual,4,FALSE)</f>
        <v>#N/A</v>
      </c>
      <c r="O238" s="29" t="s">
        <v>2698</v>
      </c>
      <c r="R238" s="5"/>
      <c r="S238" s="5"/>
    </row>
    <row r="239" spans="1:20" s="1" customFormat="1" ht="20.25" customHeight="1" x14ac:dyDescent="0.25">
      <c r="A239" s="1">
        <v>1</v>
      </c>
      <c r="B239" s="23">
        <v>233</v>
      </c>
      <c r="C239" s="24" t="s">
        <v>13</v>
      </c>
      <c r="D239" s="24" t="s">
        <v>1381</v>
      </c>
      <c r="E239" s="24" t="s">
        <v>1382</v>
      </c>
      <c r="F239" s="24" t="s">
        <v>1383</v>
      </c>
      <c r="G239" s="25" t="s">
        <v>1384</v>
      </c>
      <c r="H239" s="24" t="s">
        <v>1214</v>
      </c>
      <c r="I239" s="24" t="s">
        <v>1215</v>
      </c>
      <c r="J239" s="24" t="s">
        <v>1216</v>
      </c>
      <c r="K239" s="24" t="s">
        <v>1216</v>
      </c>
      <c r="L239" s="26" t="s">
        <v>1385</v>
      </c>
      <c r="M239" s="25"/>
      <c r="N239" s="28" t="e">
        <f>VLOOKUP(Table1[[#This Row],[ID TOKO]],Data_Aktual,4,FALSE)</f>
        <v>#N/A</v>
      </c>
      <c r="O239" s="29" t="s">
        <v>2696</v>
      </c>
      <c r="R239" s="5"/>
      <c r="S239" s="5"/>
    </row>
    <row r="240" spans="1:20" s="1" customFormat="1" ht="20.25" customHeight="1" x14ac:dyDescent="0.3">
      <c r="A240" s="1">
        <v>1</v>
      </c>
      <c r="B240" s="23">
        <v>234</v>
      </c>
      <c r="C240" s="24" t="s">
        <v>13</v>
      </c>
      <c r="D240" s="24" t="s">
        <v>1386</v>
      </c>
      <c r="E240" s="24" t="s">
        <v>1387</v>
      </c>
      <c r="F240" s="24" t="s">
        <v>144</v>
      </c>
      <c r="G240" s="25" t="s">
        <v>1388</v>
      </c>
      <c r="H240" s="24" t="s">
        <v>1389</v>
      </c>
      <c r="I240" s="24" t="s">
        <v>1215</v>
      </c>
      <c r="J240" s="24" t="s">
        <v>1216</v>
      </c>
      <c r="K240" s="24" t="s">
        <v>1216</v>
      </c>
      <c r="L240" s="26" t="s">
        <v>1390</v>
      </c>
      <c r="M240" s="27" t="s">
        <v>1391</v>
      </c>
      <c r="N240" s="28" t="e">
        <f>VLOOKUP(Table1[[#This Row],[ID TOKO]],Data_Aktual,4,FALSE)</f>
        <v>#N/A</v>
      </c>
      <c r="O240" s="29" t="s">
        <v>2694</v>
      </c>
      <c r="R240" s="5"/>
      <c r="S240" s="5"/>
    </row>
    <row r="241" spans="1:19" s="1" customFormat="1" ht="20.25" customHeight="1" x14ac:dyDescent="0.3">
      <c r="A241" s="1">
        <v>1</v>
      </c>
      <c r="B241" s="23">
        <v>235</v>
      </c>
      <c r="C241" s="24" t="s">
        <v>13</v>
      </c>
      <c r="D241" s="24" t="s">
        <v>1392</v>
      </c>
      <c r="E241" s="24" t="s">
        <v>1393</v>
      </c>
      <c r="F241" s="25" t="s">
        <v>1394</v>
      </c>
      <c r="G241" s="25" t="s">
        <v>1395</v>
      </c>
      <c r="H241" s="25" t="s">
        <v>1214</v>
      </c>
      <c r="I241" s="24" t="s">
        <v>1215</v>
      </c>
      <c r="J241" s="25" t="s">
        <v>1216</v>
      </c>
      <c r="K241" s="25" t="s">
        <v>1216</v>
      </c>
      <c r="L241" s="26" t="s">
        <v>1396</v>
      </c>
      <c r="M241" s="27" t="s">
        <v>1397</v>
      </c>
      <c r="N241" s="28" t="e">
        <f>VLOOKUP(Table1[[#This Row],[ID TOKO]],Data_Aktual,4,FALSE)</f>
        <v>#N/A</v>
      </c>
      <c r="O241" s="29" t="s">
        <v>2692</v>
      </c>
      <c r="R241" s="5"/>
      <c r="S241" s="5"/>
    </row>
    <row r="242" spans="1:19" s="1" customFormat="1" ht="20.25" customHeight="1" x14ac:dyDescent="0.3">
      <c r="A242" s="1">
        <v>1</v>
      </c>
      <c r="B242" s="23">
        <v>236</v>
      </c>
      <c r="C242" s="24" t="s">
        <v>13</v>
      </c>
      <c r="D242" s="24" t="s">
        <v>1398</v>
      </c>
      <c r="E242" s="24" t="s">
        <v>1399</v>
      </c>
      <c r="F242" s="24" t="s">
        <v>1400</v>
      </c>
      <c r="G242" s="25" t="s">
        <v>1401</v>
      </c>
      <c r="H242" s="24" t="s">
        <v>1319</v>
      </c>
      <c r="I242" s="24" t="s">
        <v>1215</v>
      </c>
      <c r="J242" s="24" t="s">
        <v>1216</v>
      </c>
      <c r="K242" s="24" t="s">
        <v>1216</v>
      </c>
      <c r="L242" s="26" t="s">
        <v>1402</v>
      </c>
      <c r="M242" s="27" t="s">
        <v>1403</v>
      </c>
      <c r="N242" s="28" t="e">
        <f>VLOOKUP(Table1[[#This Row],[ID TOKO]],Data_Aktual,4,FALSE)</f>
        <v>#N/A</v>
      </c>
      <c r="O242" s="29" t="s">
        <v>2690</v>
      </c>
      <c r="R242" s="5"/>
      <c r="S242" s="5"/>
    </row>
    <row r="243" spans="1:19" s="1" customFormat="1" ht="20.25" customHeight="1" x14ac:dyDescent="0.3">
      <c r="A243" s="1">
        <v>1</v>
      </c>
      <c r="B243" s="23">
        <v>237</v>
      </c>
      <c r="C243" s="24" t="s">
        <v>13</v>
      </c>
      <c r="D243" s="24" t="s">
        <v>1404</v>
      </c>
      <c r="E243" s="24" t="s">
        <v>1405</v>
      </c>
      <c r="F243" s="24" t="s">
        <v>1406</v>
      </c>
      <c r="G243" s="25" t="s">
        <v>1407</v>
      </c>
      <c r="H243" s="24" t="s">
        <v>1408</v>
      </c>
      <c r="I243" s="24" t="s">
        <v>1215</v>
      </c>
      <c r="J243" s="24" t="s">
        <v>1216</v>
      </c>
      <c r="K243" s="24" t="s">
        <v>1216</v>
      </c>
      <c r="L243" s="26" t="s">
        <v>1409</v>
      </c>
      <c r="M243" s="27" t="s">
        <v>1410</v>
      </c>
      <c r="N243" s="28" t="e">
        <f>VLOOKUP(Table1[[#This Row],[ID TOKO]],Data_Aktual,4,FALSE)</f>
        <v>#N/A</v>
      </c>
      <c r="O243" s="29" t="s">
        <v>2685</v>
      </c>
      <c r="R243" s="5"/>
      <c r="S243" s="5"/>
    </row>
    <row r="244" spans="1:19" s="1" customFormat="1" ht="20.25" customHeight="1" x14ac:dyDescent="0.3">
      <c r="A244" s="1">
        <v>1</v>
      </c>
      <c r="B244" s="23">
        <v>238</v>
      </c>
      <c r="C244" s="24" t="s">
        <v>13</v>
      </c>
      <c r="D244" s="24" t="s">
        <v>1411</v>
      </c>
      <c r="E244" s="24" t="s">
        <v>1412</v>
      </c>
      <c r="F244" s="24" t="s">
        <v>1413</v>
      </c>
      <c r="G244" s="25" t="s">
        <v>1414</v>
      </c>
      <c r="H244" s="24" t="s">
        <v>1360</v>
      </c>
      <c r="I244" s="24" t="s">
        <v>1215</v>
      </c>
      <c r="J244" s="24" t="s">
        <v>1216</v>
      </c>
      <c r="K244" s="24" t="s">
        <v>1216</v>
      </c>
      <c r="L244" s="26" t="s">
        <v>1415</v>
      </c>
      <c r="M244" s="27" t="s">
        <v>1416</v>
      </c>
      <c r="N244" s="28" t="e">
        <f>VLOOKUP(Table1[[#This Row],[ID TOKO]],Data_Aktual,4,FALSE)</f>
        <v>#N/A</v>
      </c>
      <c r="O244" s="29" t="s">
        <v>2683</v>
      </c>
      <c r="R244" s="5"/>
      <c r="S244" s="5"/>
    </row>
    <row r="245" spans="1:19" s="1" customFormat="1" ht="20.25" customHeight="1" x14ac:dyDescent="0.3">
      <c r="A245" s="1">
        <v>1</v>
      </c>
      <c r="B245" s="23">
        <v>239</v>
      </c>
      <c r="C245" s="24" t="s">
        <v>13</v>
      </c>
      <c r="D245" s="24" t="s">
        <v>1417</v>
      </c>
      <c r="E245" s="24" t="s">
        <v>1418</v>
      </c>
      <c r="F245" s="24" t="s">
        <v>1419</v>
      </c>
      <c r="G245" s="25" t="s">
        <v>1420</v>
      </c>
      <c r="H245" s="24" t="s">
        <v>1214</v>
      </c>
      <c r="I245" s="24" t="s">
        <v>1215</v>
      </c>
      <c r="J245" s="24" t="s">
        <v>1216</v>
      </c>
      <c r="K245" s="24" t="s">
        <v>1216</v>
      </c>
      <c r="L245" s="26" t="s">
        <v>1421</v>
      </c>
      <c r="M245" s="27" t="s">
        <v>1422</v>
      </c>
      <c r="N245" s="28" t="e">
        <f>VLOOKUP(Table1[[#This Row],[ID TOKO]],Data_Aktual,4,FALSE)</f>
        <v>#N/A</v>
      </c>
      <c r="O245" s="29" t="s">
        <v>2681</v>
      </c>
      <c r="R245" s="5"/>
      <c r="S245" s="5"/>
    </row>
    <row r="246" spans="1:19" s="1" customFormat="1" ht="20.25" customHeight="1" x14ac:dyDescent="0.3">
      <c r="A246" s="1">
        <v>1</v>
      </c>
      <c r="B246" s="23">
        <v>240</v>
      </c>
      <c r="C246" s="24" t="s">
        <v>13</v>
      </c>
      <c r="D246" s="24" t="s">
        <v>1423</v>
      </c>
      <c r="E246" s="24" t="s">
        <v>1424</v>
      </c>
      <c r="F246" s="24" t="s">
        <v>1425</v>
      </c>
      <c r="G246" s="25" t="s">
        <v>1426</v>
      </c>
      <c r="H246" s="24" t="s">
        <v>1427</v>
      </c>
      <c r="I246" s="24" t="s">
        <v>1215</v>
      </c>
      <c r="J246" s="24" t="s">
        <v>1216</v>
      </c>
      <c r="K246" s="24" t="s">
        <v>1216</v>
      </c>
      <c r="L246" s="26" t="s">
        <v>1428</v>
      </c>
      <c r="M246" s="27" t="s">
        <v>1429</v>
      </c>
      <c r="N246" s="28" t="e">
        <f>VLOOKUP(Table1[[#This Row],[ID TOKO]],Data_Aktual,4,FALSE)</f>
        <v>#N/A</v>
      </c>
      <c r="O246" s="29" t="s">
        <v>2679</v>
      </c>
      <c r="R246" s="5"/>
      <c r="S246" s="5"/>
    </row>
    <row r="247" spans="1:19" s="1" customFormat="1" ht="20.25" customHeight="1" x14ac:dyDescent="0.3">
      <c r="A247" s="1">
        <v>1</v>
      </c>
      <c r="B247" s="23">
        <v>241</v>
      </c>
      <c r="C247" s="24" t="s">
        <v>13</v>
      </c>
      <c r="D247" s="24" t="s">
        <v>1430</v>
      </c>
      <c r="E247" s="24" t="s">
        <v>1431</v>
      </c>
      <c r="F247" s="24" t="s">
        <v>1432</v>
      </c>
      <c r="G247" s="25" t="s">
        <v>1433</v>
      </c>
      <c r="H247" s="24" t="s">
        <v>1434</v>
      </c>
      <c r="I247" s="24" t="s">
        <v>1215</v>
      </c>
      <c r="J247" s="24" t="s">
        <v>1216</v>
      </c>
      <c r="K247" s="24" t="s">
        <v>1216</v>
      </c>
      <c r="L247" s="26" t="s">
        <v>1435</v>
      </c>
      <c r="M247" s="27" t="s">
        <v>1436</v>
      </c>
      <c r="N247" s="28" t="e">
        <f>VLOOKUP(Table1[[#This Row],[ID TOKO]],Data_Aktual,4,FALSE)</f>
        <v>#N/A</v>
      </c>
      <c r="O247" s="29" t="s">
        <v>2677</v>
      </c>
      <c r="R247" s="5"/>
      <c r="S247" s="5"/>
    </row>
    <row r="248" spans="1:19" s="1" customFormat="1" ht="20.25" customHeight="1" x14ac:dyDescent="0.3">
      <c r="A248" s="1">
        <v>1</v>
      </c>
      <c r="B248" s="23">
        <v>242</v>
      </c>
      <c r="C248" s="24" t="s">
        <v>13</v>
      </c>
      <c r="D248" s="24" t="s">
        <v>1437</v>
      </c>
      <c r="E248" s="24" t="s">
        <v>1438</v>
      </c>
      <c r="F248" s="24" t="s">
        <v>1439</v>
      </c>
      <c r="G248" s="25" t="s">
        <v>1440</v>
      </c>
      <c r="H248" s="24" t="s">
        <v>1214</v>
      </c>
      <c r="I248" s="24" t="s">
        <v>1215</v>
      </c>
      <c r="J248" s="24" t="s">
        <v>1216</v>
      </c>
      <c r="K248" s="24" t="s">
        <v>1216</v>
      </c>
      <c r="L248" s="26" t="s">
        <v>1441</v>
      </c>
      <c r="M248" s="27" t="s">
        <v>1442</v>
      </c>
      <c r="N248" s="28" t="e">
        <f>VLOOKUP(Table1[[#This Row],[ID TOKO]],Data_Aktual,4,FALSE)</f>
        <v>#N/A</v>
      </c>
      <c r="O248" s="29" t="s">
        <v>2675</v>
      </c>
      <c r="R248" s="5"/>
      <c r="S248" s="5"/>
    </row>
    <row r="249" spans="1:19" s="13" customFormat="1" ht="20.25" customHeight="1" x14ac:dyDescent="0.3">
      <c r="A249" s="13">
        <v>1</v>
      </c>
      <c r="B249" s="23">
        <v>243</v>
      </c>
      <c r="C249" s="39" t="s">
        <v>13</v>
      </c>
      <c r="D249" s="39" t="s">
        <v>1443</v>
      </c>
      <c r="E249" s="39" t="s">
        <v>1444</v>
      </c>
      <c r="F249" s="39" t="s">
        <v>1445</v>
      </c>
      <c r="G249" s="39" t="s">
        <v>1446</v>
      </c>
      <c r="H249" s="39" t="s">
        <v>1234</v>
      </c>
      <c r="I249" s="24" t="s">
        <v>1215</v>
      </c>
      <c r="J249" s="39" t="s">
        <v>1216</v>
      </c>
      <c r="K249" s="39" t="s">
        <v>1216</v>
      </c>
      <c r="L249" s="39" t="s">
        <v>1447</v>
      </c>
      <c r="M249" s="27" t="s">
        <v>1448</v>
      </c>
      <c r="N249" s="28" t="e">
        <f>VLOOKUP(Table1[[#This Row],[ID TOKO]],Data_Aktual,4,FALSE)</f>
        <v>#N/A</v>
      </c>
      <c r="O249" s="29" t="s">
        <v>2673</v>
      </c>
      <c r="R249" s="14"/>
      <c r="S249" s="14"/>
    </row>
    <row r="250" spans="1:19" s="1" customFormat="1" ht="20.25" customHeight="1" x14ac:dyDescent="0.3">
      <c r="A250" s="1">
        <v>1</v>
      </c>
      <c r="B250" s="23">
        <v>244</v>
      </c>
      <c r="C250" s="24" t="s">
        <v>13</v>
      </c>
      <c r="D250" s="24" t="s">
        <v>1449</v>
      </c>
      <c r="E250" s="24" t="s">
        <v>1450</v>
      </c>
      <c r="F250" s="25" t="s">
        <v>1451</v>
      </c>
      <c r="G250" s="25" t="s">
        <v>1452</v>
      </c>
      <c r="H250" s="25" t="s">
        <v>1408</v>
      </c>
      <c r="I250" s="24" t="s">
        <v>1215</v>
      </c>
      <c r="J250" s="25" t="s">
        <v>1216</v>
      </c>
      <c r="K250" s="25" t="s">
        <v>1216</v>
      </c>
      <c r="L250" s="25" t="s">
        <v>1453</v>
      </c>
      <c r="M250" s="27" t="s">
        <v>1454</v>
      </c>
      <c r="N250" s="28" t="e">
        <f>VLOOKUP(Table1[[#This Row],[ID TOKO]],Data_Aktual,4,FALSE)</f>
        <v>#N/A</v>
      </c>
      <c r="O250" s="29" t="s">
        <v>2671</v>
      </c>
      <c r="R250" s="5"/>
      <c r="S250" s="5"/>
    </row>
    <row r="251" spans="1:19" s="1" customFormat="1" ht="20.25" customHeight="1" x14ac:dyDescent="0.3">
      <c r="A251" s="1">
        <v>1</v>
      </c>
      <c r="B251" s="23">
        <v>245</v>
      </c>
      <c r="C251" s="24" t="s">
        <v>13</v>
      </c>
      <c r="D251" s="24" t="s">
        <v>1455</v>
      </c>
      <c r="E251" s="24" t="s">
        <v>1456</v>
      </c>
      <c r="F251" s="24" t="s">
        <v>1457</v>
      </c>
      <c r="G251" s="25" t="s">
        <v>1458</v>
      </c>
      <c r="H251" s="24" t="s">
        <v>1459</v>
      </c>
      <c r="I251" s="24" t="s">
        <v>1215</v>
      </c>
      <c r="J251" s="24" t="s">
        <v>1216</v>
      </c>
      <c r="K251" s="24" t="s">
        <v>1216</v>
      </c>
      <c r="L251" s="26"/>
      <c r="M251" s="27" t="s">
        <v>1460</v>
      </c>
      <c r="N251" s="28" t="e">
        <f>VLOOKUP(Table1[[#This Row],[ID TOKO]],Data_Aktual,4,FALSE)</f>
        <v>#N/A</v>
      </c>
      <c r="O251" s="29" t="s">
        <v>2669</v>
      </c>
      <c r="R251" s="5"/>
      <c r="S251" s="5"/>
    </row>
    <row r="252" spans="1:19" s="1" customFormat="1" ht="20.25" customHeight="1" x14ac:dyDescent="0.3">
      <c r="A252" s="1">
        <v>1</v>
      </c>
      <c r="B252" s="23">
        <v>246</v>
      </c>
      <c r="C252" s="24" t="s">
        <v>13</v>
      </c>
      <c r="D252" s="24" t="s">
        <v>1461</v>
      </c>
      <c r="E252" s="24" t="s">
        <v>1462</v>
      </c>
      <c r="F252" s="24" t="s">
        <v>1463</v>
      </c>
      <c r="G252" s="24" t="s">
        <v>1464</v>
      </c>
      <c r="H252" s="24" t="s">
        <v>1234</v>
      </c>
      <c r="I252" s="24" t="s">
        <v>1215</v>
      </c>
      <c r="J252" s="24" t="s">
        <v>1216</v>
      </c>
      <c r="K252" s="24" t="s">
        <v>1216</v>
      </c>
      <c r="L252" s="26" t="s">
        <v>1465</v>
      </c>
      <c r="M252" s="27" t="s">
        <v>1466</v>
      </c>
      <c r="N252" s="28" t="e">
        <f>VLOOKUP(Table1[[#This Row],[ID TOKO]],Data_Aktual,4,FALSE)</f>
        <v>#N/A</v>
      </c>
      <c r="O252" s="29" t="s">
        <v>2667</v>
      </c>
      <c r="R252" s="5"/>
      <c r="S252" s="5"/>
    </row>
    <row r="253" spans="1:19" s="1" customFormat="1" ht="20.25" customHeight="1" x14ac:dyDescent="0.25">
      <c r="A253" s="1">
        <v>1</v>
      </c>
      <c r="B253" s="23">
        <v>247</v>
      </c>
      <c r="C253" s="24" t="s">
        <v>13</v>
      </c>
      <c r="D253" s="24" t="s">
        <v>1467</v>
      </c>
      <c r="E253" s="24"/>
      <c r="F253" s="24" t="s">
        <v>1468</v>
      </c>
      <c r="G253" s="25" t="s">
        <v>1469</v>
      </c>
      <c r="H253" s="24" t="s">
        <v>1434</v>
      </c>
      <c r="I253" s="24" t="s">
        <v>1215</v>
      </c>
      <c r="J253" s="24" t="s">
        <v>1216</v>
      </c>
      <c r="K253" s="24" t="s">
        <v>1216</v>
      </c>
      <c r="L253" s="26"/>
      <c r="M253" s="30"/>
      <c r="N253" s="28" t="e">
        <f>VLOOKUP(Table1[[#This Row],[ID TOKO]],Data_Aktual,4,FALSE)</f>
        <v>#N/A</v>
      </c>
      <c r="O253" s="29" t="s">
        <v>3123</v>
      </c>
      <c r="R253" s="5"/>
      <c r="S253" s="5"/>
    </row>
    <row r="254" spans="1:19" s="1" customFormat="1" ht="20.25" customHeight="1" x14ac:dyDescent="0.3">
      <c r="A254" s="1">
        <v>1</v>
      </c>
      <c r="B254" s="23">
        <v>248</v>
      </c>
      <c r="C254" s="24" t="s">
        <v>13</v>
      </c>
      <c r="D254" s="24" t="s">
        <v>1470</v>
      </c>
      <c r="E254" s="24" t="s">
        <v>1471</v>
      </c>
      <c r="F254" s="24" t="s">
        <v>1472</v>
      </c>
      <c r="G254" s="25" t="s">
        <v>1473</v>
      </c>
      <c r="H254" s="24" t="s">
        <v>1474</v>
      </c>
      <c r="I254" s="24" t="s">
        <v>1475</v>
      </c>
      <c r="J254" s="24" t="s">
        <v>1476</v>
      </c>
      <c r="K254" s="24" t="s">
        <v>1476</v>
      </c>
      <c r="L254" s="26" t="s">
        <v>1477</v>
      </c>
      <c r="M254" s="27" t="s">
        <v>1478</v>
      </c>
      <c r="N254" s="28" t="e">
        <f>VLOOKUP(Table1[[#This Row],[ID TOKO]],Data_Aktual,4,FALSE)</f>
        <v>#N/A</v>
      </c>
      <c r="O254" s="29" t="s">
        <v>2665</v>
      </c>
      <c r="R254" s="5"/>
      <c r="S254" s="5"/>
    </row>
    <row r="255" spans="1:19" s="1" customFormat="1" ht="20.25" customHeight="1" x14ac:dyDescent="0.3">
      <c r="A255" s="1">
        <v>1</v>
      </c>
      <c r="B255" s="23">
        <v>249</v>
      </c>
      <c r="C255" s="24" t="s">
        <v>13</v>
      </c>
      <c r="D255" s="24" t="s">
        <v>1479</v>
      </c>
      <c r="E255" s="24" t="s">
        <v>1480</v>
      </c>
      <c r="F255" s="24" t="s">
        <v>1481</v>
      </c>
      <c r="G255" s="25" t="s">
        <v>1482</v>
      </c>
      <c r="H255" s="24" t="s">
        <v>1474</v>
      </c>
      <c r="I255" s="24" t="s">
        <v>1475</v>
      </c>
      <c r="J255" s="24" t="s">
        <v>1476</v>
      </c>
      <c r="K255" s="24" t="s">
        <v>1476</v>
      </c>
      <c r="L255" s="26" t="s">
        <v>1483</v>
      </c>
      <c r="M255" s="27" t="s">
        <v>1484</v>
      </c>
      <c r="N255" s="28" t="e">
        <f>VLOOKUP(Table1[[#This Row],[ID TOKO]],Data_Aktual,4,FALSE)</f>
        <v>#N/A</v>
      </c>
      <c r="O255" s="29" t="s">
        <v>2663</v>
      </c>
      <c r="R255" s="5"/>
      <c r="S255" s="5"/>
    </row>
    <row r="256" spans="1:19" s="1" customFormat="1" ht="20.25" customHeight="1" x14ac:dyDescent="0.25">
      <c r="A256" s="1">
        <v>1</v>
      </c>
      <c r="B256" s="23">
        <v>250</v>
      </c>
      <c r="C256" s="24" t="s">
        <v>13</v>
      </c>
      <c r="D256" s="24" t="s">
        <v>1485</v>
      </c>
      <c r="E256" s="24" t="s">
        <v>1486</v>
      </c>
      <c r="F256" s="24" t="s">
        <v>1487</v>
      </c>
      <c r="G256" s="25" t="s">
        <v>1488</v>
      </c>
      <c r="H256" s="24" t="s">
        <v>1489</v>
      </c>
      <c r="I256" s="24" t="s">
        <v>1475</v>
      </c>
      <c r="J256" s="24" t="s">
        <v>1476</v>
      </c>
      <c r="K256" s="24" t="s">
        <v>1476</v>
      </c>
      <c r="L256" s="26" t="s">
        <v>1490</v>
      </c>
      <c r="M256" s="25"/>
      <c r="N256" s="28" t="e">
        <f>VLOOKUP(Table1[[#This Row],[ID TOKO]],Data_Aktual,4,FALSE)</f>
        <v>#N/A</v>
      </c>
      <c r="O256" s="29" t="s">
        <v>2661</v>
      </c>
      <c r="R256" s="5"/>
      <c r="S256" s="5"/>
    </row>
    <row r="257" spans="1:19" s="1" customFormat="1" ht="20.25" customHeight="1" x14ac:dyDescent="0.25">
      <c r="A257" s="1">
        <v>1</v>
      </c>
      <c r="B257" s="23">
        <v>251</v>
      </c>
      <c r="C257" s="24" t="s">
        <v>13</v>
      </c>
      <c r="D257" s="24" t="s">
        <v>1491</v>
      </c>
      <c r="E257" s="24" t="s">
        <v>1492</v>
      </c>
      <c r="F257" s="24" t="s">
        <v>1493</v>
      </c>
      <c r="G257" s="25" t="s">
        <v>1494</v>
      </c>
      <c r="H257" s="24" t="s">
        <v>1474</v>
      </c>
      <c r="I257" s="24" t="s">
        <v>1475</v>
      </c>
      <c r="J257" s="24" t="s">
        <v>1476</v>
      </c>
      <c r="K257" s="24" t="s">
        <v>1476</v>
      </c>
      <c r="L257" s="26" t="s">
        <v>1495</v>
      </c>
      <c r="M257" s="25"/>
      <c r="N257" s="28" t="e">
        <f>VLOOKUP(Table1[[#This Row],[ID TOKO]],Data_Aktual,4,FALSE)</f>
        <v>#N/A</v>
      </c>
      <c r="O257" s="29" t="s">
        <v>2659</v>
      </c>
      <c r="R257" s="5"/>
      <c r="S257" s="5"/>
    </row>
    <row r="258" spans="1:19" s="1" customFormat="1" ht="20.25" customHeight="1" x14ac:dyDescent="0.3">
      <c r="A258" s="1">
        <v>1</v>
      </c>
      <c r="B258" s="23">
        <v>252</v>
      </c>
      <c r="C258" s="24" t="s">
        <v>13</v>
      </c>
      <c r="D258" s="24" t="s">
        <v>1496</v>
      </c>
      <c r="E258" s="24" t="s">
        <v>1497</v>
      </c>
      <c r="F258" s="25" t="s">
        <v>797</v>
      </c>
      <c r="G258" s="25" t="s">
        <v>1498</v>
      </c>
      <c r="H258" s="25" t="s">
        <v>1499</v>
      </c>
      <c r="I258" s="24" t="s">
        <v>1475</v>
      </c>
      <c r="J258" s="24" t="s">
        <v>1476</v>
      </c>
      <c r="K258" s="25" t="s">
        <v>1476</v>
      </c>
      <c r="L258" s="25" t="s">
        <v>1500</v>
      </c>
      <c r="M258" s="27" t="s">
        <v>1501</v>
      </c>
      <c r="N258" s="28" t="e">
        <f>VLOOKUP(Table1[[#This Row],[ID TOKO]],Data_Aktual,4,FALSE)</f>
        <v>#N/A</v>
      </c>
      <c r="O258" s="29" t="s">
        <v>2657</v>
      </c>
      <c r="R258" s="5"/>
      <c r="S258" s="5"/>
    </row>
    <row r="259" spans="1:19" s="1" customFormat="1" ht="20.25" customHeight="1" x14ac:dyDescent="0.25">
      <c r="A259" s="1">
        <v>1</v>
      </c>
      <c r="B259" s="23">
        <v>253</v>
      </c>
      <c r="C259" s="24" t="s">
        <v>13</v>
      </c>
      <c r="D259" s="24" t="s">
        <v>1502</v>
      </c>
      <c r="E259" s="24" t="s">
        <v>1503</v>
      </c>
      <c r="F259" s="25" t="s">
        <v>1504</v>
      </c>
      <c r="G259" s="25" t="s">
        <v>1505</v>
      </c>
      <c r="H259" s="25" t="s">
        <v>1506</v>
      </c>
      <c r="I259" s="24" t="s">
        <v>1475</v>
      </c>
      <c r="J259" s="24" t="s">
        <v>1476</v>
      </c>
      <c r="K259" s="25" t="s">
        <v>1476</v>
      </c>
      <c r="L259" s="25"/>
      <c r="M259" s="36"/>
      <c r="N259" s="28" t="e">
        <f>VLOOKUP(Table1[[#This Row],[ID TOKO]],Data_Aktual,4,FALSE)</f>
        <v>#N/A</v>
      </c>
      <c r="O259" s="29" t="s">
        <v>2412</v>
      </c>
      <c r="R259" s="5"/>
      <c r="S259" s="5"/>
    </row>
    <row r="260" spans="1:19" s="1" customFormat="1" ht="20.25" customHeight="1" x14ac:dyDescent="0.3">
      <c r="A260" s="1">
        <v>1</v>
      </c>
      <c r="B260" s="23">
        <v>254</v>
      </c>
      <c r="C260" s="24" t="s">
        <v>13</v>
      </c>
      <c r="D260" s="24" t="s">
        <v>1507</v>
      </c>
      <c r="E260" s="24" t="s">
        <v>1508</v>
      </c>
      <c r="F260" s="24" t="s">
        <v>1509</v>
      </c>
      <c r="G260" s="25" t="s">
        <v>1510</v>
      </c>
      <c r="H260" s="24" t="s">
        <v>1511</v>
      </c>
      <c r="I260" s="24" t="s">
        <v>1475</v>
      </c>
      <c r="J260" s="24" t="s">
        <v>1512</v>
      </c>
      <c r="K260" s="24" t="s">
        <v>1512</v>
      </c>
      <c r="L260" s="26" t="s">
        <v>1513</v>
      </c>
      <c r="M260" s="27" t="s">
        <v>1514</v>
      </c>
      <c r="N260" s="28" t="e">
        <f>VLOOKUP(Table1[[#This Row],[ID TOKO]],Data_Aktual,4,FALSE)</f>
        <v>#N/A</v>
      </c>
      <c r="O260" s="29" t="s">
        <v>2655</v>
      </c>
      <c r="R260" s="5"/>
      <c r="S260" s="5"/>
    </row>
    <row r="261" spans="1:19" s="1" customFormat="1" ht="20.25" customHeight="1" x14ac:dyDescent="0.3">
      <c r="A261" s="1">
        <v>1</v>
      </c>
      <c r="B261" s="23">
        <v>255</v>
      </c>
      <c r="C261" s="24" t="s">
        <v>13</v>
      </c>
      <c r="D261" s="24" t="s">
        <v>1515</v>
      </c>
      <c r="E261" s="24" t="s">
        <v>1516</v>
      </c>
      <c r="F261" s="24" t="s">
        <v>1517</v>
      </c>
      <c r="G261" s="25" t="s">
        <v>1518</v>
      </c>
      <c r="H261" s="24" t="s">
        <v>1511</v>
      </c>
      <c r="I261" s="24" t="s">
        <v>1475</v>
      </c>
      <c r="J261" s="24" t="s">
        <v>1512</v>
      </c>
      <c r="K261" s="24" t="s">
        <v>1512</v>
      </c>
      <c r="L261" s="26" t="s">
        <v>1519</v>
      </c>
      <c r="M261" s="27" t="s">
        <v>1520</v>
      </c>
      <c r="N261" s="28" t="e">
        <f>VLOOKUP(Table1[[#This Row],[ID TOKO]],Data_Aktual,4,FALSE)</f>
        <v>#N/A</v>
      </c>
      <c r="O261" s="29" t="s">
        <v>2654</v>
      </c>
      <c r="R261" s="5"/>
      <c r="S261" s="5"/>
    </row>
    <row r="262" spans="1:19" s="1" customFormat="1" ht="20.25" customHeight="1" x14ac:dyDescent="0.25">
      <c r="A262" s="1">
        <v>1</v>
      </c>
      <c r="B262" s="23">
        <v>256</v>
      </c>
      <c r="C262" s="24" t="s">
        <v>13</v>
      </c>
      <c r="D262" s="24" t="s">
        <v>1521</v>
      </c>
      <c r="E262" s="24" t="s">
        <v>1522</v>
      </c>
      <c r="F262" s="24" t="s">
        <v>1523</v>
      </c>
      <c r="G262" s="25" t="s">
        <v>1524</v>
      </c>
      <c r="H262" s="24" t="s">
        <v>1511</v>
      </c>
      <c r="I262" s="24" t="s">
        <v>1475</v>
      </c>
      <c r="J262" s="24" t="s">
        <v>1512</v>
      </c>
      <c r="K262" s="24" t="s">
        <v>1512</v>
      </c>
      <c r="L262" s="26"/>
      <c r="M262" s="36"/>
      <c r="N262" s="28" t="e">
        <f>VLOOKUP(Table1[[#This Row],[ID TOKO]],Data_Aktual,4,FALSE)</f>
        <v>#N/A</v>
      </c>
      <c r="O262" s="29" t="s">
        <v>2423</v>
      </c>
      <c r="R262" s="5"/>
      <c r="S262" s="5"/>
    </row>
    <row r="263" spans="1:19" s="1" customFormat="1" ht="20.25" customHeight="1" x14ac:dyDescent="0.3">
      <c r="A263" s="1">
        <v>1</v>
      </c>
      <c r="B263" s="23">
        <v>257</v>
      </c>
      <c r="C263" s="24" t="s">
        <v>13</v>
      </c>
      <c r="D263" s="24" t="s">
        <v>1525</v>
      </c>
      <c r="E263" s="24" t="s">
        <v>1526</v>
      </c>
      <c r="F263" s="24" t="s">
        <v>1527</v>
      </c>
      <c r="G263" s="25" t="s">
        <v>1528</v>
      </c>
      <c r="H263" s="24" t="s">
        <v>1529</v>
      </c>
      <c r="I263" s="24" t="s">
        <v>1475</v>
      </c>
      <c r="J263" s="24" t="s">
        <v>1530</v>
      </c>
      <c r="K263" s="30" t="s">
        <v>1530</v>
      </c>
      <c r="L263" s="26" t="s">
        <v>1531</v>
      </c>
      <c r="M263" s="27" t="s">
        <v>1532</v>
      </c>
      <c r="N263" s="28" t="e">
        <f>VLOOKUP(Table1[[#This Row],[ID TOKO]],Data_Aktual,4,FALSE)</f>
        <v>#N/A</v>
      </c>
      <c r="O263" s="29" t="s">
        <v>2652</v>
      </c>
      <c r="R263" s="5"/>
      <c r="S263" s="5"/>
    </row>
    <row r="264" spans="1:19" s="1" customFormat="1" ht="20.25" customHeight="1" x14ac:dyDescent="0.3">
      <c r="A264" s="1">
        <v>1</v>
      </c>
      <c r="B264" s="23">
        <v>258</v>
      </c>
      <c r="C264" s="24" t="s">
        <v>13</v>
      </c>
      <c r="D264" s="24" t="s">
        <v>1533</v>
      </c>
      <c r="E264" s="24" t="s">
        <v>1534</v>
      </c>
      <c r="F264" s="24" t="s">
        <v>1535</v>
      </c>
      <c r="G264" s="25" t="s">
        <v>1536</v>
      </c>
      <c r="H264" s="24" t="s">
        <v>1537</v>
      </c>
      <c r="I264" s="24" t="s">
        <v>1475</v>
      </c>
      <c r="J264" s="24" t="s">
        <v>1530</v>
      </c>
      <c r="K264" s="24" t="s">
        <v>1530</v>
      </c>
      <c r="L264" s="26" t="s">
        <v>1538</v>
      </c>
      <c r="M264" s="27" t="s">
        <v>1539</v>
      </c>
      <c r="N264" s="28" t="e">
        <f>VLOOKUP(Table1[[#This Row],[ID TOKO]],Data_Aktual,4,FALSE)</f>
        <v>#N/A</v>
      </c>
      <c r="O264" s="29" t="s">
        <v>2368</v>
      </c>
      <c r="R264" s="5"/>
      <c r="S264" s="5"/>
    </row>
    <row r="265" spans="1:19" s="1" customFormat="1" ht="20.25" customHeight="1" x14ac:dyDescent="0.25">
      <c r="A265" s="1">
        <v>1</v>
      </c>
      <c r="B265" s="23">
        <v>259</v>
      </c>
      <c r="C265" s="24" t="s">
        <v>13</v>
      </c>
      <c r="D265" s="24" t="s">
        <v>1540</v>
      </c>
      <c r="E265" s="24" t="s">
        <v>1541</v>
      </c>
      <c r="F265" s="24" t="s">
        <v>1542</v>
      </c>
      <c r="G265" s="25" t="s">
        <v>1543</v>
      </c>
      <c r="H265" s="24" t="s">
        <v>1537</v>
      </c>
      <c r="I265" s="24" t="s">
        <v>1475</v>
      </c>
      <c r="J265" s="24" t="s">
        <v>1530</v>
      </c>
      <c r="K265" s="24" t="s">
        <v>1530</v>
      </c>
      <c r="L265" s="26" t="s">
        <v>1544</v>
      </c>
      <c r="M265" s="25"/>
      <c r="N265" s="28" t="e">
        <f>VLOOKUP(Table1[[#This Row],[ID TOKO]],Data_Aktual,4,FALSE)</f>
        <v>#N/A</v>
      </c>
      <c r="O265" s="29" t="s">
        <v>2650</v>
      </c>
      <c r="R265" s="5"/>
      <c r="S265" s="5"/>
    </row>
    <row r="266" spans="1:19" s="1" customFormat="1" ht="20.25" customHeight="1" x14ac:dyDescent="0.3">
      <c r="A266" s="1">
        <v>1</v>
      </c>
      <c r="B266" s="23">
        <v>260</v>
      </c>
      <c r="C266" s="24" t="s">
        <v>13</v>
      </c>
      <c r="D266" s="24" t="s">
        <v>1545</v>
      </c>
      <c r="E266" s="24" t="s">
        <v>1546</v>
      </c>
      <c r="F266" s="25" t="s">
        <v>1547</v>
      </c>
      <c r="G266" s="25" t="s">
        <v>1548</v>
      </c>
      <c r="H266" s="25" t="s">
        <v>1549</v>
      </c>
      <c r="I266" s="24" t="s">
        <v>1475</v>
      </c>
      <c r="J266" s="25" t="s">
        <v>1550</v>
      </c>
      <c r="K266" s="24" t="s">
        <v>1550</v>
      </c>
      <c r="L266" s="26" t="s">
        <v>1551</v>
      </c>
      <c r="M266" s="27" t="s">
        <v>1552</v>
      </c>
      <c r="N266" s="28" t="e">
        <f>VLOOKUP(Table1[[#This Row],[ID TOKO]],Data_Aktual,4,FALSE)</f>
        <v>#N/A</v>
      </c>
      <c r="O266" s="29" t="s">
        <v>2646</v>
      </c>
      <c r="R266" s="5"/>
      <c r="S266" s="5"/>
    </row>
    <row r="267" spans="1:19" s="1" customFormat="1" ht="20.25" customHeight="1" x14ac:dyDescent="0.25">
      <c r="A267" s="1">
        <v>1</v>
      </c>
      <c r="B267" s="23">
        <v>261</v>
      </c>
      <c r="C267" s="24" t="s">
        <v>13</v>
      </c>
      <c r="D267" s="24" t="s">
        <v>1553</v>
      </c>
      <c r="E267" s="24" t="s">
        <v>1554</v>
      </c>
      <c r="F267" s="30" t="s">
        <v>1555</v>
      </c>
      <c r="G267" s="30" t="s">
        <v>1556</v>
      </c>
      <c r="H267" s="30" t="s">
        <v>1557</v>
      </c>
      <c r="I267" s="24" t="s">
        <v>1475</v>
      </c>
      <c r="J267" s="25" t="s">
        <v>1550</v>
      </c>
      <c r="K267" s="30" t="s">
        <v>1550</v>
      </c>
      <c r="L267" s="26" t="s">
        <v>1558</v>
      </c>
      <c r="M267" s="25"/>
      <c r="N267" s="28" t="e">
        <f>VLOOKUP(Table1[[#This Row],[ID TOKO]],Data_Aktual,4,FALSE)</f>
        <v>#N/A</v>
      </c>
      <c r="O267" s="29" t="s">
        <v>2644</v>
      </c>
      <c r="R267" s="5"/>
      <c r="S267" s="5"/>
    </row>
    <row r="268" spans="1:19" s="1" customFormat="1" ht="20.25" customHeight="1" x14ac:dyDescent="0.25">
      <c r="A268" s="1">
        <v>1</v>
      </c>
      <c r="B268" s="23">
        <v>262</v>
      </c>
      <c r="C268" s="24" t="s">
        <v>13</v>
      </c>
      <c r="D268" s="24" t="s">
        <v>1559</v>
      </c>
      <c r="E268" s="24" t="s">
        <v>1560</v>
      </c>
      <c r="F268" s="24" t="s">
        <v>1561</v>
      </c>
      <c r="G268" s="25" t="s">
        <v>1562</v>
      </c>
      <c r="H268" s="24" t="s">
        <v>1563</v>
      </c>
      <c r="I268" s="24" t="s">
        <v>1475</v>
      </c>
      <c r="J268" s="25" t="s">
        <v>1550</v>
      </c>
      <c r="K268" s="24" t="s">
        <v>1550</v>
      </c>
      <c r="L268" s="26" t="s">
        <v>1564</v>
      </c>
      <c r="M268" s="25"/>
      <c r="N268" s="28" t="e">
        <f>VLOOKUP(Table1[[#This Row],[ID TOKO]],Data_Aktual,4,FALSE)</f>
        <v>#N/A</v>
      </c>
      <c r="O268" s="29" t="s">
        <v>2642</v>
      </c>
      <c r="R268" s="5"/>
      <c r="S268" s="5"/>
    </row>
    <row r="269" spans="1:19" s="1" customFormat="1" ht="20.25" customHeight="1" x14ac:dyDescent="0.3">
      <c r="A269" s="1">
        <v>1</v>
      </c>
      <c r="B269" s="23">
        <v>263</v>
      </c>
      <c r="C269" s="24" t="s">
        <v>13</v>
      </c>
      <c r="D269" s="24" t="s">
        <v>1565</v>
      </c>
      <c r="E269" s="24" t="s">
        <v>1566</v>
      </c>
      <c r="F269" s="24" t="s">
        <v>1567</v>
      </c>
      <c r="G269" s="25" t="s">
        <v>1568</v>
      </c>
      <c r="H269" s="24" t="s">
        <v>1569</v>
      </c>
      <c r="I269" s="24" t="s">
        <v>1475</v>
      </c>
      <c r="J269" s="25" t="s">
        <v>1550</v>
      </c>
      <c r="K269" s="24" t="s">
        <v>1550</v>
      </c>
      <c r="L269" s="26"/>
      <c r="M269" s="27" t="s">
        <v>1570</v>
      </c>
      <c r="N269" s="28" t="e">
        <f>VLOOKUP(Table1[[#This Row],[ID TOKO]],Data_Aktual,4,FALSE)</f>
        <v>#N/A</v>
      </c>
      <c r="O269" s="29" t="s">
        <v>2640</v>
      </c>
      <c r="R269" s="5"/>
      <c r="S269" s="5"/>
    </row>
    <row r="270" spans="1:19" s="1" customFormat="1" ht="20.25" customHeight="1" x14ac:dyDescent="0.25">
      <c r="A270" s="1">
        <v>1</v>
      </c>
      <c r="B270" s="23">
        <v>264</v>
      </c>
      <c r="C270" s="24" t="s">
        <v>13</v>
      </c>
      <c r="D270" s="24" t="s">
        <v>1571</v>
      </c>
      <c r="E270" s="24" t="s">
        <v>1572</v>
      </c>
      <c r="F270" s="24" t="s">
        <v>1573</v>
      </c>
      <c r="G270" s="40" t="s">
        <v>1574</v>
      </c>
      <c r="H270" s="24" t="s">
        <v>1569</v>
      </c>
      <c r="I270" s="24" t="s">
        <v>1475</v>
      </c>
      <c r="J270" s="24" t="s">
        <v>1550</v>
      </c>
      <c r="K270" s="24" t="s">
        <v>1550</v>
      </c>
      <c r="L270" s="26" t="s">
        <v>1575</v>
      </c>
      <c r="M270" s="25"/>
      <c r="N270" s="28" t="e">
        <f>VLOOKUP(Table1[[#This Row],[ID TOKO]],Data_Aktual,4,FALSE)</f>
        <v>#N/A</v>
      </c>
      <c r="O270" s="29" t="s">
        <v>2638</v>
      </c>
      <c r="R270" s="5"/>
      <c r="S270" s="5"/>
    </row>
    <row r="271" spans="1:19" s="1" customFormat="1" ht="20.25" customHeight="1" x14ac:dyDescent="0.3">
      <c r="A271" s="1">
        <v>1</v>
      </c>
      <c r="B271" s="23">
        <v>265</v>
      </c>
      <c r="C271" s="24" t="s">
        <v>13</v>
      </c>
      <c r="D271" s="24" t="s">
        <v>1576</v>
      </c>
      <c r="E271" s="24" t="s">
        <v>1577</v>
      </c>
      <c r="F271" s="24" t="s">
        <v>1578</v>
      </c>
      <c r="G271" s="25" t="s">
        <v>1579</v>
      </c>
      <c r="H271" s="24" t="s">
        <v>1549</v>
      </c>
      <c r="I271" s="24" t="s">
        <v>1475</v>
      </c>
      <c r="J271" s="24" t="s">
        <v>1550</v>
      </c>
      <c r="K271" s="24" t="s">
        <v>1550</v>
      </c>
      <c r="L271" s="26" t="s">
        <v>1580</v>
      </c>
      <c r="M271" s="27" t="s">
        <v>1581</v>
      </c>
      <c r="N271" s="28" t="e">
        <f>VLOOKUP(Table1[[#This Row],[ID TOKO]],Data_Aktual,4,FALSE)</f>
        <v>#N/A</v>
      </c>
      <c r="O271" s="29" t="s">
        <v>2636</v>
      </c>
      <c r="R271" s="5"/>
      <c r="S271" s="5"/>
    </row>
    <row r="272" spans="1:19" s="1" customFormat="1" ht="20.25" customHeight="1" x14ac:dyDescent="0.25">
      <c r="A272" s="1">
        <v>1</v>
      </c>
      <c r="B272" s="23">
        <v>266</v>
      </c>
      <c r="C272" s="24" t="s">
        <v>13</v>
      </c>
      <c r="D272" s="24" t="s">
        <v>1582</v>
      </c>
      <c r="E272" s="24" t="s">
        <v>1583</v>
      </c>
      <c r="F272" s="24" t="s">
        <v>1584</v>
      </c>
      <c r="G272" s="25" t="s">
        <v>1585</v>
      </c>
      <c r="H272" s="24" t="s">
        <v>1557</v>
      </c>
      <c r="I272" s="24" t="s">
        <v>1475</v>
      </c>
      <c r="J272" s="24" t="s">
        <v>1550</v>
      </c>
      <c r="K272" s="24" t="s">
        <v>1550</v>
      </c>
      <c r="L272" s="26"/>
      <c r="M272" s="36"/>
      <c r="N272" s="28" t="e">
        <f>VLOOKUP(Table1[[#This Row],[ID TOKO]],Data_Aktual,4,FALSE)</f>
        <v>#N/A</v>
      </c>
      <c r="O272" s="29" t="s">
        <v>2380</v>
      </c>
      <c r="R272" s="5"/>
      <c r="S272" s="5"/>
    </row>
    <row r="273" spans="1:19" s="1" customFormat="1" ht="20.25" customHeight="1" x14ac:dyDescent="0.3">
      <c r="A273" s="1">
        <v>1</v>
      </c>
      <c r="B273" s="23">
        <v>267</v>
      </c>
      <c r="C273" s="24" t="s">
        <v>13</v>
      </c>
      <c r="D273" s="24" t="s">
        <v>1586</v>
      </c>
      <c r="E273" s="24" t="s">
        <v>1587</v>
      </c>
      <c r="F273" s="24" t="s">
        <v>1588</v>
      </c>
      <c r="G273" s="25" t="s">
        <v>1589</v>
      </c>
      <c r="H273" s="24" t="s">
        <v>1590</v>
      </c>
      <c r="I273" s="24" t="s">
        <v>1475</v>
      </c>
      <c r="J273" s="24" t="s">
        <v>1591</v>
      </c>
      <c r="K273" s="24" t="s">
        <v>1591</v>
      </c>
      <c r="L273" s="26" t="s">
        <v>1592</v>
      </c>
      <c r="M273" s="27" t="s">
        <v>1593</v>
      </c>
      <c r="N273" s="28" t="e">
        <f>VLOOKUP(Table1[[#This Row],[ID TOKO]],Data_Aktual,4,FALSE)</f>
        <v>#N/A</v>
      </c>
      <c r="O273" s="29" t="s">
        <v>2648</v>
      </c>
      <c r="R273" s="5"/>
      <c r="S273" s="5"/>
    </row>
    <row r="274" spans="1:19" s="1" customFormat="1" ht="20.25" customHeight="1" x14ac:dyDescent="0.25">
      <c r="A274" s="1">
        <v>1</v>
      </c>
      <c r="B274" s="23">
        <v>268</v>
      </c>
      <c r="C274" s="24" t="s">
        <v>13</v>
      </c>
      <c r="D274" s="24" t="s">
        <v>1594</v>
      </c>
      <c r="E274" s="24" t="s">
        <v>1595</v>
      </c>
      <c r="F274" s="24" t="s">
        <v>1596</v>
      </c>
      <c r="G274" s="25" t="s">
        <v>1597</v>
      </c>
      <c r="H274" s="24" t="s">
        <v>1598</v>
      </c>
      <c r="I274" s="24" t="s">
        <v>19</v>
      </c>
      <c r="J274" s="24" t="s">
        <v>1599</v>
      </c>
      <c r="K274" s="24" t="s">
        <v>1600</v>
      </c>
      <c r="L274" s="26" t="s">
        <v>1601</v>
      </c>
      <c r="M274" s="25"/>
      <c r="N274" s="28" t="e">
        <f>VLOOKUP(Table1[[#This Row],[ID TOKO]],Data_Aktual,4,FALSE)</f>
        <v>#N/A</v>
      </c>
      <c r="O274" s="29" t="s">
        <v>2634</v>
      </c>
      <c r="R274" s="5"/>
      <c r="S274" s="5"/>
    </row>
    <row r="275" spans="1:19" s="1" customFormat="1" ht="20.25" customHeight="1" x14ac:dyDescent="0.25">
      <c r="A275" s="1">
        <v>1</v>
      </c>
      <c r="B275" s="23">
        <v>269</v>
      </c>
      <c r="C275" s="24" t="s">
        <v>13</v>
      </c>
      <c r="D275" s="24" t="s">
        <v>1602</v>
      </c>
      <c r="E275" s="24" t="s">
        <v>1603</v>
      </c>
      <c r="F275" s="24" t="s">
        <v>1604</v>
      </c>
      <c r="G275" s="25" t="s">
        <v>1605</v>
      </c>
      <c r="H275" s="24" t="s">
        <v>1606</v>
      </c>
      <c r="I275" s="24" t="s">
        <v>19</v>
      </c>
      <c r="J275" s="24" t="s">
        <v>1599</v>
      </c>
      <c r="K275" s="24" t="s">
        <v>1600</v>
      </c>
      <c r="L275" s="26"/>
      <c r="M275" s="25"/>
      <c r="N275" s="28" t="e">
        <f>VLOOKUP(Table1[[#This Row],[ID TOKO]],Data_Aktual,4,FALSE)</f>
        <v>#N/A</v>
      </c>
      <c r="O275" s="29" t="s">
        <v>2378</v>
      </c>
      <c r="R275" s="5"/>
      <c r="S275" s="5"/>
    </row>
    <row r="276" spans="1:19" s="1" customFormat="1" ht="20.25" customHeight="1" x14ac:dyDescent="0.25">
      <c r="A276" s="1">
        <v>1</v>
      </c>
      <c r="B276" s="23">
        <v>270</v>
      </c>
      <c r="C276" s="24" t="s">
        <v>13</v>
      </c>
      <c r="D276" s="24" t="s">
        <v>1607</v>
      </c>
      <c r="E276" s="24" t="s">
        <v>1608</v>
      </c>
      <c r="F276" s="24" t="s">
        <v>1609</v>
      </c>
      <c r="G276" s="41" t="s">
        <v>1610</v>
      </c>
      <c r="H276" s="41" t="s">
        <v>1611</v>
      </c>
      <c r="I276" s="24" t="s">
        <v>19</v>
      </c>
      <c r="J276" s="41" t="s">
        <v>1600</v>
      </c>
      <c r="K276" s="41" t="s">
        <v>1600</v>
      </c>
      <c r="L276" s="42" t="s">
        <v>1612</v>
      </c>
      <c r="M276" s="30"/>
      <c r="N276" s="28" t="e">
        <f>VLOOKUP(Table1[[#This Row],[ID TOKO]],Data_Aktual,4,FALSE)</f>
        <v>#N/A</v>
      </c>
      <c r="O276" s="29" t="s">
        <v>2381</v>
      </c>
      <c r="R276" s="5"/>
      <c r="S276" s="5"/>
    </row>
    <row r="277" spans="1:19" s="1" customFormat="1" ht="20.25" customHeight="1" x14ac:dyDescent="0.25">
      <c r="A277" s="1">
        <v>1</v>
      </c>
      <c r="B277" s="23">
        <v>271</v>
      </c>
      <c r="C277" s="24" t="s">
        <v>13</v>
      </c>
      <c r="D277" s="24" t="s">
        <v>1613</v>
      </c>
      <c r="E277" s="24"/>
      <c r="F277" s="24" t="s">
        <v>1614</v>
      </c>
      <c r="G277" s="25" t="s">
        <v>1615</v>
      </c>
      <c r="H277" s="24" t="s">
        <v>1599</v>
      </c>
      <c r="I277" s="24" t="s">
        <v>19</v>
      </c>
      <c r="J277" s="24" t="s">
        <v>1599</v>
      </c>
      <c r="K277" s="24" t="s">
        <v>1600</v>
      </c>
      <c r="L277" s="26"/>
      <c r="M277" s="30"/>
      <c r="N277" s="28" t="e">
        <f>VLOOKUP(Table1[[#This Row],[ID TOKO]],Data_Aktual,4,FALSE)</f>
        <v>#N/A</v>
      </c>
      <c r="O277" s="29" t="s">
        <v>3124</v>
      </c>
      <c r="R277" s="5"/>
      <c r="S277" s="5"/>
    </row>
    <row r="278" spans="1:19" s="1" customFormat="1" ht="20.25" customHeight="1" x14ac:dyDescent="0.3">
      <c r="A278" s="1">
        <v>1</v>
      </c>
      <c r="B278" s="23">
        <v>272</v>
      </c>
      <c r="C278" s="24" t="s">
        <v>13</v>
      </c>
      <c r="D278" s="24" t="s">
        <v>1616</v>
      </c>
      <c r="E278" s="24" t="s">
        <v>1617</v>
      </c>
      <c r="F278" s="24" t="s">
        <v>1618</v>
      </c>
      <c r="G278" s="25" t="s">
        <v>1619</v>
      </c>
      <c r="H278" s="24" t="s">
        <v>1620</v>
      </c>
      <c r="I278" s="24" t="s">
        <v>19</v>
      </c>
      <c r="J278" s="24" t="s">
        <v>893</v>
      </c>
      <c r="K278" s="24" t="s">
        <v>1620</v>
      </c>
      <c r="L278" s="26" t="s">
        <v>1621</v>
      </c>
      <c r="M278" s="27" t="s">
        <v>1622</v>
      </c>
      <c r="N278" s="28" t="e">
        <f>VLOOKUP(Table1[[#This Row],[ID TOKO]],Data_Aktual,4,FALSE)</f>
        <v>#N/A</v>
      </c>
      <c r="O278" s="29" t="s">
        <v>2632</v>
      </c>
      <c r="R278" s="5"/>
      <c r="S278" s="5"/>
    </row>
    <row r="279" spans="1:19" s="1" customFormat="1" ht="20.25" customHeight="1" x14ac:dyDescent="0.3">
      <c r="A279" s="1">
        <v>1</v>
      </c>
      <c r="B279" s="23">
        <v>273</v>
      </c>
      <c r="C279" s="24" t="s">
        <v>13</v>
      </c>
      <c r="D279" s="24" t="s">
        <v>1623</v>
      </c>
      <c r="E279" s="24" t="s">
        <v>1624</v>
      </c>
      <c r="F279" s="24" t="s">
        <v>50</v>
      </c>
      <c r="G279" s="25" t="s">
        <v>1625</v>
      </c>
      <c r="H279" s="24" t="s">
        <v>1620</v>
      </c>
      <c r="I279" s="24" t="s">
        <v>19</v>
      </c>
      <c r="J279" s="24" t="s">
        <v>893</v>
      </c>
      <c r="K279" s="24" t="s">
        <v>1620</v>
      </c>
      <c r="L279" s="26" t="s">
        <v>1626</v>
      </c>
      <c r="M279" s="27" t="s">
        <v>1627</v>
      </c>
      <c r="N279" s="28" t="e">
        <f>VLOOKUP(Table1[[#This Row],[ID TOKO]],Data_Aktual,4,FALSE)</f>
        <v>#N/A</v>
      </c>
      <c r="O279" s="29" t="s">
        <v>2370</v>
      </c>
      <c r="R279" s="5"/>
      <c r="S279" s="5"/>
    </row>
    <row r="280" spans="1:19" s="1" customFormat="1" ht="20.25" customHeight="1" x14ac:dyDescent="0.25">
      <c r="A280" s="1">
        <v>1</v>
      </c>
      <c r="B280" s="23">
        <v>274</v>
      </c>
      <c r="C280" s="24" t="s">
        <v>13</v>
      </c>
      <c r="D280" s="24" t="s">
        <v>1628</v>
      </c>
      <c r="E280" s="24" t="s">
        <v>1629</v>
      </c>
      <c r="F280" s="24" t="s">
        <v>1630</v>
      </c>
      <c r="G280" s="25" t="s">
        <v>1631</v>
      </c>
      <c r="H280" s="24" t="s">
        <v>1620</v>
      </c>
      <c r="I280" s="24" t="s">
        <v>19</v>
      </c>
      <c r="J280" s="24" t="s">
        <v>893</v>
      </c>
      <c r="K280" s="24" t="s">
        <v>1620</v>
      </c>
      <c r="L280" s="26" t="s">
        <v>1632</v>
      </c>
      <c r="M280" s="36"/>
      <c r="N280" s="28" t="e">
        <f>VLOOKUP(Table1[[#This Row],[ID TOKO]],Data_Aktual,4,FALSE)</f>
        <v>#N/A</v>
      </c>
      <c r="O280" s="29" t="s">
        <v>2630</v>
      </c>
      <c r="R280" s="5"/>
      <c r="S280" s="5"/>
    </row>
    <row r="281" spans="1:19" s="1" customFormat="1" ht="20.25" customHeight="1" x14ac:dyDescent="0.25">
      <c r="A281" s="1">
        <v>1</v>
      </c>
      <c r="B281" s="23">
        <v>275</v>
      </c>
      <c r="C281" s="24" t="s">
        <v>13</v>
      </c>
      <c r="D281" s="24" t="s">
        <v>1633</v>
      </c>
      <c r="E281" s="24"/>
      <c r="F281" s="24" t="s">
        <v>1634</v>
      </c>
      <c r="G281" s="25" t="s">
        <v>1635</v>
      </c>
      <c r="H281" s="24" t="s">
        <v>1636</v>
      </c>
      <c r="I281" s="24" t="s">
        <v>19</v>
      </c>
      <c r="J281" s="24" t="s">
        <v>893</v>
      </c>
      <c r="K281" s="24" t="s">
        <v>1620</v>
      </c>
      <c r="L281" s="26"/>
      <c r="M281" s="30"/>
      <c r="N281" s="28" t="e">
        <f>VLOOKUP(Table1[[#This Row],[ID TOKO]],Data_Aktual,4,FALSE)</f>
        <v>#N/A</v>
      </c>
      <c r="O281" s="31" t="s">
        <v>3131</v>
      </c>
      <c r="R281" s="5"/>
      <c r="S281" s="5"/>
    </row>
    <row r="282" spans="1:19" s="1" customFormat="1" ht="20.25" customHeight="1" x14ac:dyDescent="0.25">
      <c r="A282" s="1">
        <v>1</v>
      </c>
      <c r="B282" s="23">
        <v>276</v>
      </c>
      <c r="C282" s="24" t="s">
        <v>13</v>
      </c>
      <c r="D282" s="24" t="s">
        <v>1637</v>
      </c>
      <c r="E282" s="24" t="s">
        <v>1638</v>
      </c>
      <c r="F282" s="24" t="s">
        <v>1639</v>
      </c>
      <c r="G282" s="25" t="s">
        <v>1640</v>
      </c>
      <c r="H282" s="24" t="s">
        <v>1641</v>
      </c>
      <c r="I282" s="24" t="s">
        <v>19</v>
      </c>
      <c r="J282" s="24" t="s">
        <v>1642</v>
      </c>
      <c r="K282" s="24" t="s">
        <v>1642</v>
      </c>
      <c r="L282" s="26" t="s">
        <v>1643</v>
      </c>
      <c r="M282" s="25"/>
      <c r="N282" s="28" t="e">
        <f>VLOOKUP(Table1[[#This Row],[ID TOKO]],Data_Aktual,4,FALSE)</f>
        <v>#N/A</v>
      </c>
      <c r="O282" s="29" t="s">
        <v>2617</v>
      </c>
      <c r="R282" s="5"/>
      <c r="S282" s="5"/>
    </row>
    <row r="283" spans="1:19" s="1" customFormat="1" ht="20.25" customHeight="1" x14ac:dyDescent="0.25">
      <c r="A283" s="1">
        <v>1</v>
      </c>
      <c r="B283" s="23">
        <v>277</v>
      </c>
      <c r="C283" s="24" t="s">
        <v>13</v>
      </c>
      <c r="D283" s="24" t="s">
        <v>1644</v>
      </c>
      <c r="E283" s="24" t="s">
        <v>1645</v>
      </c>
      <c r="F283" s="24" t="s">
        <v>1646</v>
      </c>
      <c r="G283" s="25" t="s">
        <v>1647</v>
      </c>
      <c r="H283" s="24" t="s">
        <v>1648</v>
      </c>
      <c r="I283" s="24" t="s">
        <v>19</v>
      </c>
      <c r="J283" s="24" t="s">
        <v>1642</v>
      </c>
      <c r="K283" s="24" t="s">
        <v>1642</v>
      </c>
      <c r="L283" s="26" t="s">
        <v>1649</v>
      </c>
      <c r="M283" s="25"/>
      <c r="N283" s="28" t="e">
        <f>VLOOKUP(Table1[[#This Row],[ID TOKO]],Data_Aktual,4,FALSE)</f>
        <v>#N/A</v>
      </c>
      <c r="O283" s="29" t="s">
        <v>2615</v>
      </c>
      <c r="R283" s="5"/>
      <c r="S283" s="5"/>
    </row>
    <row r="284" spans="1:19" s="1" customFormat="1" ht="20.25" customHeight="1" x14ac:dyDescent="0.25">
      <c r="A284" s="1">
        <v>1</v>
      </c>
      <c r="B284" s="23">
        <v>278</v>
      </c>
      <c r="C284" s="24" t="s">
        <v>13</v>
      </c>
      <c r="D284" s="24" t="s">
        <v>1650</v>
      </c>
      <c r="E284" s="24" t="s">
        <v>1651</v>
      </c>
      <c r="F284" s="24" t="s">
        <v>1652</v>
      </c>
      <c r="G284" s="25" t="s">
        <v>1653</v>
      </c>
      <c r="H284" s="24" t="s">
        <v>1648</v>
      </c>
      <c r="I284" s="24" t="s">
        <v>19</v>
      </c>
      <c r="J284" s="24" t="s">
        <v>1642</v>
      </c>
      <c r="K284" s="24" t="s">
        <v>1642</v>
      </c>
      <c r="L284" s="26" t="s">
        <v>1654</v>
      </c>
      <c r="M284" s="25"/>
      <c r="N284" s="28" t="e">
        <f>VLOOKUP(Table1[[#This Row],[ID TOKO]],Data_Aktual,4,FALSE)</f>
        <v>#N/A</v>
      </c>
      <c r="O284" s="29" t="s">
        <v>2613</v>
      </c>
      <c r="R284" s="5"/>
      <c r="S284" s="5"/>
    </row>
    <row r="285" spans="1:19" s="1" customFormat="1" ht="20.25" customHeight="1" x14ac:dyDescent="0.25">
      <c r="A285" s="1">
        <v>1</v>
      </c>
      <c r="B285" s="23">
        <v>279</v>
      </c>
      <c r="C285" s="24" t="s">
        <v>13</v>
      </c>
      <c r="D285" s="24" t="s">
        <v>1655</v>
      </c>
      <c r="E285" s="24" t="s">
        <v>1656</v>
      </c>
      <c r="F285" s="30" t="s">
        <v>1657</v>
      </c>
      <c r="G285" s="43" t="s">
        <v>1658</v>
      </c>
      <c r="H285" s="30" t="s">
        <v>1659</v>
      </c>
      <c r="I285" s="24" t="s">
        <v>19</v>
      </c>
      <c r="J285" s="30" t="s">
        <v>1642</v>
      </c>
      <c r="K285" s="30" t="s">
        <v>1642</v>
      </c>
      <c r="L285" s="43" t="s">
        <v>1660</v>
      </c>
      <c r="M285" s="25"/>
      <c r="N285" s="28" t="e">
        <f>VLOOKUP(Table1[[#This Row],[ID TOKO]],Data_Aktual,4,FALSE)</f>
        <v>#N/A</v>
      </c>
      <c r="O285" s="29" t="s">
        <v>2611</v>
      </c>
      <c r="R285" s="5"/>
      <c r="S285" s="5"/>
    </row>
    <row r="286" spans="1:19" s="1" customFormat="1" ht="20.25" customHeight="1" x14ac:dyDescent="0.3">
      <c r="A286" s="1">
        <v>1</v>
      </c>
      <c r="B286" s="23">
        <v>280</v>
      </c>
      <c r="C286" s="24" t="s">
        <v>13</v>
      </c>
      <c r="D286" s="24" t="s">
        <v>1661</v>
      </c>
      <c r="E286" s="24" t="s">
        <v>1662</v>
      </c>
      <c r="F286" s="24" t="s">
        <v>1663</v>
      </c>
      <c r="G286" s="25" t="s">
        <v>1664</v>
      </c>
      <c r="H286" s="24" t="s">
        <v>1648</v>
      </c>
      <c r="I286" s="24" t="s">
        <v>19</v>
      </c>
      <c r="J286" s="24" t="s">
        <v>1642</v>
      </c>
      <c r="K286" s="24" t="s">
        <v>1642</v>
      </c>
      <c r="L286" s="26" t="s">
        <v>1665</v>
      </c>
      <c r="M286" s="27" t="s">
        <v>1666</v>
      </c>
      <c r="N286" s="28" t="e">
        <f>VLOOKUP(Table1[[#This Row],[ID TOKO]],Data_Aktual,4,FALSE)</f>
        <v>#N/A</v>
      </c>
      <c r="O286" s="29" t="s">
        <v>2609</v>
      </c>
      <c r="R286" s="5"/>
      <c r="S286" s="5"/>
    </row>
    <row r="287" spans="1:19" s="1" customFormat="1" ht="20.25" customHeight="1" x14ac:dyDescent="0.25">
      <c r="A287" s="1">
        <v>1</v>
      </c>
      <c r="B287" s="23">
        <v>281</v>
      </c>
      <c r="C287" s="24" t="s">
        <v>13</v>
      </c>
      <c r="D287" s="24" t="s">
        <v>1667</v>
      </c>
      <c r="E287" s="24" t="s">
        <v>1668</v>
      </c>
      <c r="F287" s="24" t="s">
        <v>1669</v>
      </c>
      <c r="G287" s="25" t="s">
        <v>1670</v>
      </c>
      <c r="H287" s="24" t="s">
        <v>1648</v>
      </c>
      <c r="I287" s="24" t="s">
        <v>19</v>
      </c>
      <c r="J287" s="24" t="s">
        <v>1642</v>
      </c>
      <c r="K287" s="24" t="s">
        <v>1642</v>
      </c>
      <c r="L287" s="26" t="s">
        <v>1671</v>
      </c>
      <c r="M287" s="25"/>
      <c r="N287" s="28" t="e">
        <f>VLOOKUP(Table1[[#This Row],[ID TOKO]],Data_Aktual,4,FALSE)</f>
        <v>#N/A</v>
      </c>
      <c r="O287" s="29" t="s">
        <v>2607</v>
      </c>
      <c r="R287" s="5"/>
      <c r="S287" s="5"/>
    </row>
    <row r="288" spans="1:19" s="1" customFormat="1" ht="20.25" customHeight="1" x14ac:dyDescent="0.25">
      <c r="A288" s="1">
        <v>1</v>
      </c>
      <c r="B288" s="23">
        <v>282</v>
      </c>
      <c r="C288" s="24" t="s">
        <v>13</v>
      </c>
      <c r="D288" s="24" t="s">
        <v>1672</v>
      </c>
      <c r="E288" s="24" t="s">
        <v>1673</v>
      </c>
      <c r="F288" s="24" t="s">
        <v>1674</v>
      </c>
      <c r="G288" s="25" t="s">
        <v>1675</v>
      </c>
      <c r="H288" s="24" t="s">
        <v>1676</v>
      </c>
      <c r="I288" s="24" t="s">
        <v>19</v>
      </c>
      <c r="J288" s="24" t="s">
        <v>1642</v>
      </c>
      <c r="K288" s="24" t="s">
        <v>1642</v>
      </c>
      <c r="L288" s="26" t="s">
        <v>1677</v>
      </c>
      <c r="M288" s="25"/>
      <c r="N288" s="28" t="e">
        <f>VLOOKUP(Table1[[#This Row],[ID TOKO]],Data_Aktual,4,FALSE)</f>
        <v>#N/A</v>
      </c>
      <c r="O288" s="29" t="s">
        <v>2605</v>
      </c>
      <c r="R288" s="5"/>
      <c r="S288" s="5"/>
    </row>
    <row r="289" spans="1:19" s="1" customFormat="1" ht="20.25" customHeight="1" x14ac:dyDescent="0.25">
      <c r="A289" s="1">
        <v>1</v>
      </c>
      <c r="B289" s="23">
        <v>283</v>
      </c>
      <c r="C289" s="24" t="s">
        <v>13</v>
      </c>
      <c r="D289" s="24" t="s">
        <v>1678</v>
      </c>
      <c r="E289" s="24" t="s">
        <v>1679</v>
      </c>
      <c r="F289" s="24" t="s">
        <v>1680</v>
      </c>
      <c r="G289" s="25" t="s">
        <v>1681</v>
      </c>
      <c r="H289" s="24" t="s">
        <v>1648</v>
      </c>
      <c r="I289" s="24" t="s">
        <v>19</v>
      </c>
      <c r="J289" s="24" t="s">
        <v>1642</v>
      </c>
      <c r="K289" s="24" t="s">
        <v>1642</v>
      </c>
      <c r="L289" s="26" t="s">
        <v>1682</v>
      </c>
      <c r="M289" s="25"/>
      <c r="N289" s="28" t="e">
        <f>VLOOKUP(Table1[[#This Row],[ID TOKO]],Data_Aktual,4,FALSE)</f>
        <v>#N/A</v>
      </c>
      <c r="O289" s="29" t="s">
        <v>2603</v>
      </c>
      <c r="R289" s="5"/>
      <c r="S289" s="5"/>
    </row>
    <row r="290" spans="1:19" s="1" customFormat="1" ht="20.25" customHeight="1" x14ac:dyDescent="0.3">
      <c r="A290" s="1">
        <v>1</v>
      </c>
      <c r="B290" s="23">
        <v>284</v>
      </c>
      <c r="C290" s="24" t="s">
        <v>13</v>
      </c>
      <c r="D290" s="24" t="s">
        <v>1683</v>
      </c>
      <c r="E290" s="24" t="s">
        <v>1684</v>
      </c>
      <c r="F290" s="24" t="s">
        <v>1685</v>
      </c>
      <c r="G290" s="25" t="s">
        <v>1686</v>
      </c>
      <c r="H290" s="24" t="s">
        <v>1648</v>
      </c>
      <c r="I290" s="24" t="s">
        <v>19</v>
      </c>
      <c r="J290" s="24" t="s">
        <v>1642</v>
      </c>
      <c r="K290" s="24" t="s">
        <v>1642</v>
      </c>
      <c r="L290" s="26" t="s">
        <v>1687</v>
      </c>
      <c r="M290" s="27" t="s">
        <v>1688</v>
      </c>
      <c r="N290" s="28" t="e">
        <f>VLOOKUP(Table1[[#This Row],[ID TOKO]],Data_Aktual,4,FALSE)</f>
        <v>#N/A</v>
      </c>
      <c r="O290" s="29" t="s">
        <v>2601</v>
      </c>
      <c r="R290" s="5"/>
      <c r="S290" s="5"/>
    </row>
    <row r="291" spans="1:19" s="1" customFormat="1" ht="20.25" customHeight="1" x14ac:dyDescent="0.3">
      <c r="A291" s="1">
        <v>1</v>
      </c>
      <c r="B291" s="23">
        <v>285</v>
      </c>
      <c r="C291" s="24" t="s">
        <v>13</v>
      </c>
      <c r="D291" s="24" t="s">
        <v>1689</v>
      </c>
      <c r="E291" s="24" t="s">
        <v>1690</v>
      </c>
      <c r="F291" s="24" t="s">
        <v>1691</v>
      </c>
      <c r="G291" s="25" t="s">
        <v>1692</v>
      </c>
      <c r="H291" s="24" t="s">
        <v>1641</v>
      </c>
      <c r="I291" s="24" t="s">
        <v>19</v>
      </c>
      <c r="J291" s="24" t="s">
        <v>1642</v>
      </c>
      <c r="K291" s="24" t="s">
        <v>1642</v>
      </c>
      <c r="L291" s="26" t="s">
        <v>1693</v>
      </c>
      <c r="M291" s="27" t="s">
        <v>1694</v>
      </c>
      <c r="N291" s="28" t="e">
        <f>VLOOKUP(Table1[[#This Row],[ID TOKO]],Data_Aktual,4,FALSE)</f>
        <v>#N/A</v>
      </c>
      <c r="O291" s="29" t="s">
        <v>2599</v>
      </c>
      <c r="R291" s="5"/>
      <c r="S291" s="5"/>
    </row>
    <row r="292" spans="1:19" s="1" customFormat="1" ht="20.25" customHeight="1" x14ac:dyDescent="0.3">
      <c r="A292" s="1">
        <v>1</v>
      </c>
      <c r="B292" s="23">
        <v>286</v>
      </c>
      <c r="C292" s="24" t="s">
        <v>13</v>
      </c>
      <c r="D292" s="24" t="s">
        <v>1695</v>
      </c>
      <c r="E292" s="24" t="s">
        <v>1696</v>
      </c>
      <c r="F292" s="24" t="s">
        <v>50</v>
      </c>
      <c r="G292" s="25" t="s">
        <v>1697</v>
      </c>
      <c r="H292" s="24" t="s">
        <v>1648</v>
      </c>
      <c r="I292" s="24" t="s">
        <v>19</v>
      </c>
      <c r="J292" s="24" t="s">
        <v>1642</v>
      </c>
      <c r="K292" s="24" t="s">
        <v>1642</v>
      </c>
      <c r="L292" s="26" t="s">
        <v>1698</v>
      </c>
      <c r="M292" s="27" t="s">
        <v>1699</v>
      </c>
      <c r="N292" s="28" t="e">
        <f>VLOOKUP(Table1[[#This Row],[ID TOKO]],Data_Aktual,4,FALSE)</f>
        <v>#N/A</v>
      </c>
      <c r="O292" s="32" t="s">
        <v>2597</v>
      </c>
      <c r="R292" s="5"/>
      <c r="S292" s="5"/>
    </row>
    <row r="293" spans="1:19" s="1" customFormat="1" ht="20.25" customHeight="1" x14ac:dyDescent="0.3">
      <c r="A293" s="1">
        <v>1</v>
      </c>
      <c r="B293" s="23">
        <v>287</v>
      </c>
      <c r="C293" s="24" t="s">
        <v>13</v>
      </c>
      <c r="D293" s="24" t="s">
        <v>1700</v>
      </c>
      <c r="E293" s="24" t="s">
        <v>1701</v>
      </c>
      <c r="F293" s="25" t="s">
        <v>1702</v>
      </c>
      <c r="G293" s="25" t="s">
        <v>1703</v>
      </c>
      <c r="H293" s="25" t="s">
        <v>1704</v>
      </c>
      <c r="I293" s="24" t="s">
        <v>19</v>
      </c>
      <c r="J293" s="25" t="s">
        <v>1642</v>
      </c>
      <c r="K293" s="24" t="s">
        <v>1642</v>
      </c>
      <c r="L293" s="26" t="s">
        <v>1705</v>
      </c>
      <c r="M293" s="27" t="s">
        <v>1706</v>
      </c>
      <c r="N293" s="28" t="e">
        <f>VLOOKUP(Table1[[#This Row],[ID TOKO]],Data_Aktual,4,FALSE)</f>
        <v>#N/A</v>
      </c>
      <c r="O293" s="29" t="s">
        <v>2595</v>
      </c>
      <c r="R293" s="5"/>
      <c r="S293" s="5"/>
    </row>
    <row r="294" spans="1:19" s="1" customFormat="1" ht="20.25" customHeight="1" x14ac:dyDescent="0.25">
      <c r="A294" s="1">
        <v>1</v>
      </c>
      <c r="B294" s="23">
        <v>288</v>
      </c>
      <c r="C294" s="24" t="s">
        <v>13</v>
      </c>
      <c r="D294" s="24" t="s">
        <v>1707</v>
      </c>
      <c r="E294" s="24" t="s">
        <v>1708</v>
      </c>
      <c r="F294" s="25" t="s">
        <v>1709</v>
      </c>
      <c r="G294" s="25" t="s">
        <v>1710</v>
      </c>
      <c r="H294" s="25" t="s">
        <v>1648</v>
      </c>
      <c r="I294" s="24" t="s">
        <v>19</v>
      </c>
      <c r="J294" s="25" t="s">
        <v>1642</v>
      </c>
      <c r="K294" s="24" t="s">
        <v>1642</v>
      </c>
      <c r="L294" s="26" t="s">
        <v>1711</v>
      </c>
      <c r="M294" s="25"/>
      <c r="N294" s="28" t="e">
        <f>VLOOKUP(Table1[[#This Row],[ID TOKO]],Data_Aktual,4,FALSE)</f>
        <v>#N/A</v>
      </c>
      <c r="O294" s="29" t="s">
        <v>2593</v>
      </c>
      <c r="R294" s="5"/>
      <c r="S294" s="5"/>
    </row>
    <row r="295" spans="1:19" s="1" customFormat="1" ht="20.25" customHeight="1" x14ac:dyDescent="0.3">
      <c r="A295" s="1">
        <v>1</v>
      </c>
      <c r="B295" s="23">
        <v>289</v>
      </c>
      <c r="C295" s="24" t="s">
        <v>13</v>
      </c>
      <c r="D295" s="24" t="s">
        <v>1712</v>
      </c>
      <c r="E295" s="24" t="s">
        <v>1713</v>
      </c>
      <c r="F295" s="24" t="s">
        <v>1714</v>
      </c>
      <c r="G295" s="25" t="s">
        <v>1715</v>
      </c>
      <c r="H295" s="24" t="s">
        <v>1648</v>
      </c>
      <c r="I295" s="24" t="s">
        <v>19</v>
      </c>
      <c r="J295" s="24" t="s">
        <v>1642</v>
      </c>
      <c r="K295" s="24" t="s">
        <v>1642</v>
      </c>
      <c r="L295" s="26" t="s">
        <v>1716</v>
      </c>
      <c r="M295" s="27" t="s">
        <v>1717</v>
      </c>
      <c r="N295" s="28" t="e">
        <f>VLOOKUP(Table1[[#This Row],[ID TOKO]],Data_Aktual,4,FALSE)</f>
        <v>#N/A</v>
      </c>
      <c r="O295" s="29" t="s">
        <v>2591</v>
      </c>
      <c r="R295" s="5"/>
      <c r="S295" s="5"/>
    </row>
    <row r="296" spans="1:19" s="1" customFormat="1" ht="20.25" customHeight="1" x14ac:dyDescent="0.25">
      <c r="A296" s="1">
        <v>1</v>
      </c>
      <c r="B296" s="23">
        <v>290</v>
      </c>
      <c r="C296" s="24" t="s">
        <v>13</v>
      </c>
      <c r="D296" s="24" t="s">
        <v>1718</v>
      </c>
      <c r="E296" s="24" t="s">
        <v>1719</v>
      </c>
      <c r="F296" s="25" t="s">
        <v>1720</v>
      </c>
      <c r="G296" s="25" t="s">
        <v>1721</v>
      </c>
      <c r="H296" s="25" t="s">
        <v>1648</v>
      </c>
      <c r="I296" s="24" t="s">
        <v>19</v>
      </c>
      <c r="J296" s="25" t="s">
        <v>1642</v>
      </c>
      <c r="K296" s="24" t="s">
        <v>1642</v>
      </c>
      <c r="L296" s="26" t="s">
        <v>1722</v>
      </c>
      <c r="M296" s="25"/>
      <c r="N296" s="28" t="e">
        <f>VLOOKUP(Table1[[#This Row],[ID TOKO]],Data_Aktual,4,FALSE)</f>
        <v>#N/A</v>
      </c>
      <c r="O296" s="29" t="s">
        <v>2589</v>
      </c>
      <c r="R296" s="5"/>
      <c r="S296" s="5"/>
    </row>
    <row r="297" spans="1:19" s="1" customFormat="1" ht="20.25" customHeight="1" x14ac:dyDescent="0.25">
      <c r="A297" s="1">
        <v>1</v>
      </c>
      <c r="B297" s="23">
        <v>291</v>
      </c>
      <c r="C297" s="24" t="s">
        <v>13</v>
      </c>
      <c r="D297" s="24" t="s">
        <v>1723</v>
      </c>
      <c r="E297" s="24" t="s">
        <v>1724</v>
      </c>
      <c r="F297" s="24" t="s">
        <v>1725</v>
      </c>
      <c r="G297" s="25" t="s">
        <v>1726</v>
      </c>
      <c r="H297" s="24" t="s">
        <v>1704</v>
      </c>
      <c r="I297" s="24" t="s">
        <v>19</v>
      </c>
      <c r="J297" s="24" t="s">
        <v>1642</v>
      </c>
      <c r="K297" s="24" t="s">
        <v>1642</v>
      </c>
      <c r="L297" s="26" t="s">
        <v>1727</v>
      </c>
      <c r="M297" s="25"/>
      <c r="N297" s="28" t="e">
        <f>VLOOKUP(Table1[[#This Row],[ID TOKO]],Data_Aktual,4,FALSE)</f>
        <v>#N/A</v>
      </c>
      <c r="O297" s="29" t="s">
        <v>2587</v>
      </c>
      <c r="R297" s="5"/>
      <c r="S297" s="5"/>
    </row>
    <row r="298" spans="1:19" s="1" customFormat="1" ht="20.25" customHeight="1" x14ac:dyDescent="0.25">
      <c r="A298" s="1">
        <v>1</v>
      </c>
      <c r="B298" s="23">
        <v>292</v>
      </c>
      <c r="C298" s="24" t="s">
        <v>13</v>
      </c>
      <c r="D298" s="24" t="s">
        <v>1728</v>
      </c>
      <c r="E298" s="24" t="s">
        <v>1729</v>
      </c>
      <c r="F298" s="24" t="s">
        <v>1730</v>
      </c>
      <c r="G298" s="25" t="s">
        <v>1731</v>
      </c>
      <c r="H298" s="24" t="s">
        <v>1732</v>
      </c>
      <c r="I298" s="24" t="s">
        <v>19</v>
      </c>
      <c r="J298" s="24" t="s">
        <v>1642</v>
      </c>
      <c r="K298" s="24" t="s">
        <v>1642</v>
      </c>
      <c r="L298" s="44" t="s">
        <v>1733</v>
      </c>
      <c r="M298" s="30"/>
      <c r="N298" s="28" t="e">
        <f>VLOOKUP(Table1[[#This Row],[ID TOKO]],Data_Aktual,4,FALSE)</f>
        <v>#N/A</v>
      </c>
      <c r="O298" s="29" t="s">
        <v>2402</v>
      </c>
      <c r="R298" s="5"/>
      <c r="S298" s="5"/>
    </row>
    <row r="299" spans="1:19" s="1" customFormat="1" ht="20.25" customHeight="1" x14ac:dyDescent="0.3">
      <c r="A299" s="1">
        <v>1</v>
      </c>
      <c r="B299" s="23">
        <v>293</v>
      </c>
      <c r="C299" s="24" t="s">
        <v>13</v>
      </c>
      <c r="D299" s="24" t="s">
        <v>1734</v>
      </c>
      <c r="E299" s="24" t="s">
        <v>1735</v>
      </c>
      <c r="F299" s="24" t="s">
        <v>1736</v>
      </c>
      <c r="G299" s="25" t="s">
        <v>1737</v>
      </c>
      <c r="H299" s="24" t="s">
        <v>1738</v>
      </c>
      <c r="I299" s="24" t="s">
        <v>1739</v>
      </c>
      <c r="J299" s="24" t="s">
        <v>1740</v>
      </c>
      <c r="K299" s="24" t="s">
        <v>1740</v>
      </c>
      <c r="L299" s="26" t="s">
        <v>1741</v>
      </c>
      <c r="M299" s="27" t="s">
        <v>1742</v>
      </c>
      <c r="N299" s="28" t="e">
        <f>VLOOKUP(Table1[[#This Row],[ID TOKO]],Data_Aktual,4,FALSE)</f>
        <v>#N/A</v>
      </c>
      <c r="O299" s="29" t="s">
        <v>2585</v>
      </c>
      <c r="R299" s="5"/>
      <c r="S299" s="5"/>
    </row>
    <row r="300" spans="1:19" s="1" customFormat="1" ht="20.25" customHeight="1" x14ac:dyDescent="0.25">
      <c r="A300" s="1">
        <v>1</v>
      </c>
      <c r="B300" s="23">
        <v>294</v>
      </c>
      <c r="C300" s="24" t="s">
        <v>13</v>
      </c>
      <c r="D300" s="24" t="s">
        <v>1743</v>
      </c>
      <c r="E300" s="24" t="s">
        <v>1744</v>
      </c>
      <c r="F300" s="24" t="s">
        <v>1232</v>
      </c>
      <c r="G300" s="25" t="s">
        <v>1745</v>
      </c>
      <c r="H300" s="24" t="s">
        <v>1746</v>
      </c>
      <c r="I300" s="24" t="s">
        <v>1739</v>
      </c>
      <c r="J300" s="24" t="s">
        <v>1740</v>
      </c>
      <c r="K300" s="24" t="s">
        <v>1740</v>
      </c>
      <c r="L300" s="26" t="s">
        <v>1747</v>
      </c>
      <c r="M300" s="25"/>
      <c r="N300" s="28" t="e">
        <f>VLOOKUP(Table1[[#This Row],[ID TOKO]],Data_Aktual,4,FALSE)</f>
        <v>#N/A</v>
      </c>
      <c r="O300" s="29" t="s">
        <v>2583</v>
      </c>
      <c r="R300" s="5"/>
      <c r="S300" s="5"/>
    </row>
    <row r="301" spans="1:19" s="1" customFormat="1" ht="20.25" customHeight="1" x14ac:dyDescent="0.25">
      <c r="A301" s="1">
        <v>1</v>
      </c>
      <c r="B301" s="23">
        <v>295</v>
      </c>
      <c r="C301" s="24" t="s">
        <v>13</v>
      </c>
      <c r="D301" s="24" t="s">
        <v>1748</v>
      </c>
      <c r="E301" s="24" t="s">
        <v>1749</v>
      </c>
      <c r="F301" s="24" t="s">
        <v>1750</v>
      </c>
      <c r="G301" s="25" t="s">
        <v>1751</v>
      </c>
      <c r="H301" s="24" t="s">
        <v>1752</v>
      </c>
      <c r="I301" s="24" t="s">
        <v>1739</v>
      </c>
      <c r="J301" s="24" t="s">
        <v>1740</v>
      </c>
      <c r="K301" s="24" t="s">
        <v>1740</v>
      </c>
      <c r="L301" s="26" t="s">
        <v>1753</v>
      </c>
      <c r="M301" s="25"/>
      <c r="N301" s="28" t="e">
        <f>VLOOKUP(Table1[[#This Row],[ID TOKO]],Data_Aktual,4,FALSE)</f>
        <v>#N/A</v>
      </c>
      <c r="O301" s="29" t="s">
        <v>2581</v>
      </c>
      <c r="R301" s="5"/>
      <c r="S301" s="5"/>
    </row>
    <row r="302" spans="1:19" s="1" customFormat="1" ht="20.25" customHeight="1" x14ac:dyDescent="0.25">
      <c r="A302" s="1">
        <v>1</v>
      </c>
      <c r="B302" s="23">
        <v>296</v>
      </c>
      <c r="C302" s="24" t="s">
        <v>13</v>
      </c>
      <c r="D302" s="24" t="s">
        <v>1754</v>
      </c>
      <c r="E302" s="24" t="s">
        <v>1755</v>
      </c>
      <c r="F302" s="24" t="s">
        <v>1756</v>
      </c>
      <c r="G302" s="25" t="s">
        <v>1757</v>
      </c>
      <c r="H302" s="24" t="s">
        <v>1758</v>
      </c>
      <c r="I302" s="24" t="s">
        <v>1739</v>
      </c>
      <c r="J302" s="24" t="s">
        <v>1740</v>
      </c>
      <c r="K302" s="24" t="s">
        <v>1740</v>
      </c>
      <c r="L302" s="26" t="s">
        <v>1759</v>
      </c>
      <c r="M302" s="25"/>
      <c r="N302" s="28" t="e">
        <f>VLOOKUP(Table1[[#This Row],[ID TOKO]],Data_Aktual,4,FALSE)</f>
        <v>#N/A</v>
      </c>
      <c r="O302" s="29" t="s">
        <v>2579</v>
      </c>
      <c r="R302" s="5"/>
      <c r="S302" s="5"/>
    </row>
    <row r="303" spans="1:19" s="1" customFormat="1" ht="20.25" customHeight="1" x14ac:dyDescent="0.3">
      <c r="A303" s="1">
        <v>1</v>
      </c>
      <c r="B303" s="23">
        <v>297</v>
      </c>
      <c r="C303" s="24" t="s">
        <v>13</v>
      </c>
      <c r="D303" s="24" t="s">
        <v>1760</v>
      </c>
      <c r="E303" s="24" t="s">
        <v>1761</v>
      </c>
      <c r="F303" s="24" t="s">
        <v>1762</v>
      </c>
      <c r="G303" s="25" t="s">
        <v>1763</v>
      </c>
      <c r="H303" s="24" t="s">
        <v>1752</v>
      </c>
      <c r="I303" s="24" t="s">
        <v>1739</v>
      </c>
      <c r="J303" s="24" t="s">
        <v>1740</v>
      </c>
      <c r="K303" s="24" t="s">
        <v>1740</v>
      </c>
      <c r="L303" s="26" t="s">
        <v>1764</v>
      </c>
      <c r="M303" s="27" t="s">
        <v>1765</v>
      </c>
      <c r="N303" s="28" t="e">
        <f>VLOOKUP(Table1[[#This Row],[ID TOKO]],Data_Aktual,4,FALSE)</f>
        <v>#N/A</v>
      </c>
      <c r="O303" s="29" t="s">
        <v>3125</v>
      </c>
      <c r="R303" s="5"/>
      <c r="S303" s="5"/>
    </row>
    <row r="304" spans="1:19" s="1" customFormat="1" ht="20.25" customHeight="1" x14ac:dyDescent="0.3">
      <c r="A304" s="1">
        <v>1</v>
      </c>
      <c r="B304" s="23">
        <v>298</v>
      </c>
      <c r="C304" s="24" t="s">
        <v>13</v>
      </c>
      <c r="D304" s="24" t="s">
        <v>1766</v>
      </c>
      <c r="E304" s="24" t="s">
        <v>1767</v>
      </c>
      <c r="F304" s="24" t="s">
        <v>1768</v>
      </c>
      <c r="G304" s="25" t="s">
        <v>1769</v>
      </c>
      <c r="H304" s="24" t="s">
        <v>1752</v>
      </c>
      <c r="I304" s="24" t="s">
        <v>1739</v>
      </c>
      <c r="J304" s="24" t="s">
        <v>1740</v>
      </c>
      <c r="K304" s="24" t="s">
        <v>1740</v>
      </c>
      <c r="L304" s="26"/>
      <c r="M304" s="27" t="s">
        <v>1770</v>
      </c>
      <c r="N304" s="28" t="e">
        <f>VLOOKUP(Table1[[#This Row],[ID TOKO]],Data_Aktual,4,FALSE)</f>
        <v>#N/A</v>
      </c>
      <c r="O304" s="29" t="s">
        <v>2577</v>
      </c>
      <c r="R304" s="5"/>
      <c r="S304" s="5"/>
    </row>
    <row r="305" spans="1:20" s="1" customFormat="1" ht="20.25" customHeight="1" x14ac:dyDescent="0.3">
      <c r="A305" s="1">
        <v>1</v>
      </c>
      <c r="B305" s="23">
        <v>299</v>
      </c>
      <c r="C305" s="24" t="s">
        <v>13</v>
      </c>
      <c r="D305" s="24" t="s">
        <v>1771</v>
      </c>
      <c r="E305" s="24" t="s">
        <v>1772</v>
      </c>
      <c r="F305" s="24" t="s">
        <v>1773</v>
      </c>
      <c r="G305" s="25" t="s">
        <v>1774</v>
      </c>
      <c r="H305" s="24" t="s">
        <v>1775</v>
      </c>
      <c r="I305" s="24" t="s">
        <v>1739</v>
      </c>
      <c r="J305" s="24" t="s">
        <v>1776</v>
      </c>
      <c r="K305" s="24" t="s">
        <v>1776</v>
      </c>
      <c r="L305" s="26" t="s">
        <v>1777</v>
      </c>
      <c r="M305" s="27" t="s">
        <v>1778</v>
      </c>
      <c r="N305" s="28" t="e">
        <f>VLOOKUP(Table1[[#This Row],[ID TOKO]],Data_Aktual,4,FALSE)</f>
        <v>#N/A</v>
      </c>
      <c r="O305" s="29" t="s">
        <v>2574</v>
      </c>
      <c r="R305" s="5"/>
      <c r="S305" s="5"/>
    </row>
    <row r="306" spans="1:20" s="1" customFormat="1" ht="20.25" customHeight="1" x14ac:dyDescent="0.3">
      <c r="A306" s="1">
        <v>1</v>
      </c>
      <c r="B306" s="23">
        <v>300</v>
      </c>
      <c r="C306" s="24" t="s">
        <v>13</v>
      </c>
      <c r="D306" s="24" t="s">
        <v>1779</v>
      </c>
      <c r="E306" s="24" t="s">
        <v>1780</v>
      </c>
      <c r="F306" s="24" t="s">
        <v>1781</v>
      </c>
      <c r="G306" s="25" t="s">
        <v>1782</v>
      </c>
      <c r="H306" s="24" t="s">
        <v>1775</v>
      </c>
      <c r="I306" s="24" t="s">
        <v>1739</v>
      </c>
      <c r="J306" s="24" t="s">
        <v>1776</v>
      </c>
      <c r="K306" s="24" t="s">
        <v>1776</v>
      </c>
      <c r="L306" s="26" t="s">
        <v>1783</v>
      </c>
      <c r="M306" s="27" t="s">
        <v>1784</v>
      </c>
      <c r="N306" s="28" t="e">
        <f>VLOOKUP(Table1[[#This Row],[ID TOKO]],Data_Aktual,4,FALSE)</f>
        <v>#N/A</v>
      </c>
      <c r="O306" s="29" t="s">
        <v>2572</v>
      </c>
      <c r="R306" s="5"/>
      <c r="S306" s="5"/>
    </row>
    <row r="307" spans="1:20" s="1" customFormat="1" ht="20.25" customHeight="1" x14ac:dyDescent="0.3">
      <c r="A307" s="1">
        <v>1</v>
      </c>
      <c r="B307" s="23">
        <v>301</v>
      </c>
      <c r="C307" s="24" t="s">
        <v>13</v>
      </c>
      <c r="D307" s="24" t="s">
        <v>1785</v>
      </c>
      <c r="E307" s="24" t="s">
        <v>1786</v>
      </c>
      <c r="F307" s="24" t="s">
        <v>1787</v>
      </c>
      <c r="G307" s="25" t="s">
        <v>1788</v>
      </c>
      <c r="H307" s="24" t="s">
        <v>1775</v>
      </c>
      <c r="I307" s="24" t="s">
        <v>1739</v>
      </c>
      <c r="J307" s="24" t="s">
        <v>1776</v>
      </c>
      <c r="K307" s="24" t="s">
        <v>1776</v>
      </c>
      <c r="L307" s="26" t="s">
        <v>1789</v>
      </c>
      <c r="M307" s="27" t="s">
        <v>1790</v>
      </c>
      <c r="N307" s="28" t="e">
        <f>VLOOKUP(Table1[[#This Row],[ID TOKO]],Data_Aktual,4,FALSE)</f>
        <v>#N/A</v>
      </c>
      <c r="O307" s="29" t="s">
        <v>2570</v>
      </c>
      <c r="R307" s="5"/>
      <c r="S307" s="5"/>
    </row>
    <row r="308" spans="1:20" s="1" customFormat="1" ht="20.25" customHeight="1" x14ac:dyDescent="0.25">
      <c r="A308" s="1">
        <v>1</v>
      </c>
      <c r="B308" s="23">
        <v>302</v>
      </c>
      <c r="C308" s="24" t="s">
        <v>13</v>
      </c>
      <c r="D308" s="24" t="s">
        <v>1791</v>
      </c>
      <c r="E308" s="24" t="s">
        <v>1792</v>
      </c>
      <c r="F308" s="24" t="s">
        <v>1793</v>
      </c>
      <c r="G308" s="25" t="s">
        <v>1794</v>
      </c>
      <c r="H308" s="24" t="s">
        <v>1775</v>
      </c>
      <c r="I308" s="24" t="s">
        <v>1739</v>
      </c>
      <c r="J308" s="24" t="s">
        <v>1776</v>
      </c>
      <c r="K308" s="24" t="s">
        <v>1776</v>
      </c>
      <c r="L308" s="26" t="s">
        <v>1795</v>
      </c>
      <c r="M308" s="25"/>
      <c r="N308" s="28" t="e">
        <f>VLOOKUP(Table1[[#This Row],[ID TOKO]],Data_Aktual,4,FALSE)</f>
        <v>#N/A</v>
      </c>
      <c r="O308" s="29" t="s">
        <v>2568</v>
      </c>
      <c r="R308" s="5"/>
      <c r="S308" s="5"/>
    </row>
    <row r="309" spans="1:20" s="1" customFormat="1" ht="20.25" customHeight="1" x14ac:dyDescent="0.3">
      <c r="A309" s="1">
        <v>1</v>
      </c>
      <c r="B309" s="23">
        <v>303</v>
      </c>
      <c r="C309" s="24" t="s">
        <v>13</v>
      </c>
      <c r="D309" s="24" t="s">
        <v>1796</v>
      </c>
      <c r="E309" s="24" t="s">
        <v>1797</v>
      </c>
      <c r="F309" s="24" t="s">
        <v>1798</v>
      </c>
      <c r="G309" s="25" t="s">
        <v>1799</v>
      </c>
      <c r="H309" s="24" t="s">
        <v>1800</v>
      </c>
      <c r="I309" s="24" t="s">
        <v>1739</v>
      </c>
      <c r="J309" s="24" t="s">
        <v>1740</v>
      </c>
      <c r="K309" s="24" t="s">
        <v>1740</v>
      </c>
      <c r="L309" s="26" t="s">
        <v>1801</v>
      </c>
      <c r="M309" s="27" t="s">
        <v>1802</v>
      </c>
      <c r="N309" s="28" t="e">
        <f>VLOOKUP(Table1[[#This Row],[ID TOKO]],Data_Aktual,4,FALSE)</f>
        <v>#N/A</v>
      </c>
      <c r="O309" s="29" t="s">
        <v>2566</v>
      </c>
      <c r="R309" s="5"/>
      <c r="S309" s="5"/>
    </row>
    <row r="310" spans="1:20" s="1" customFormat="1" ht="20.25" customHeight="1" x14ac:dyDescent="0.25">
      <c r="A310" s="1">
        <v>1</v>
      </c>
      <c r="B310" s="23">
        <v>304</v>
      </c>
      <c r="C310" s="24" t="s">
        <v>13</v>
      </c>
      <c r="D310" s="24" t="s">
        <v>1803</v>
      </c>
      <c r="E310" s="24" t="s">
        <v>1804</v>
      </c>
      <c r="F310" s="24" t="s">
        <v>1805</v>
      </c>
      <c r="G310" s="25" t="s">
        <v>1806</v>
      </c>
      <c r="H310" s="24" t="s">
        <v>1752</v>
      </c>
      <c r="I310" s="24" t="s">
        <v>1739</v>
      </c>
      <c r="J310" s="24" t="s">
        <v>1740</v>
      </c>
      <c r="K310" s="24" t="s">
        <v>1740</v>
      </c>
      <c r="L310" s="45" t="s">
        <v>1807</v>
      </c>
      <c r="M310" s="25"/>
      <c r="N310" s="28" t="e">
        <f>VLOOKUP(Table1[[#This Row],[ID TOKO]],Data_Aktual,4,FALSE)</f>
        <v>#N/A</v>
      </c>
      <c r="O310" s="29" t="s">
        <v>2564</v>
      </c>
      <c r="R310" s="5"/>
      <c r="S310" s="5"/>
    </row>
    <row r="311" spans="1:20" s="1" customFormat="1" ht="20.25" customHeight="1" x14ac:dyDescent="0.25">
      <c r="A311" s="1">
        <v>1</v>
      </c>
      <c r="B311" s="23">
        <v>305</v>
      </c>
      <c r="C311" s="24" t="s">
        <v>13</v>
      </c>
      <c r="D311" s="24" t="s">
        <v>1808</v>
      </c>
      <c r="E311" s="24" t="s">
        <v>1809</v>
      </c>
      <c r="F311" s="24" t="s">
        <v>1810</v>
      </c>
      <c r="G311" s="25" t="s">
        <v>1811</v>
      </c>
      <c r="H311" s="24" t="s">
        <v>1812</v>
      </c>
      <c r="I311" s="24" t="s">
        <v>1739</v>
      </c>
      <c r="J311" s="24" t="s">
        <v>1740</v>
      </c>
      <c r="K311" s="24" t="s">
        <v>1740</v>
      </c>
      <c r="L311" s="26"/>
      <c r="M311" s="30"/>
      <c r="N311" s="28" t="e">
        <f>VLOOKUP(Table1[[#This Row],[ID TOKO]],Data_Aktual,4,FALSE)</f>
        <v>#N/A</v>
      </c>
      <c r="O311" s="29" t="s">
        <v>2398</v>
      </c>
      <c r="R311" s="5"/>
      <c r="S311" s="5"/>
    </row>
    <row r="312" spans="1:20" s="1" customFormat="1" ht="20.25" customHeight="1" x14ac:dyDescent="0.3">
      <c r="A312" s="1">
        <v>1</v>
      </c>
      <c r="B312" s="23">
        <v>306</v>
      </c>
      <c r="C312" s="24" t="s">
        <v>13</v>
      </c>
      <c r="D312" s="24" t="s">
        <v>1813</v>
      </c>
      <c r="E312" s="24" t="s">
        <v>1814</v>
      </c>
      <c r="F312" s="24" t="s">
        <v>1815</v>
      </c>
      <c r="G312" s="25" t="s">
        <v>1816</v>
      </c>
      <c r="H312" s="24" t="s">
        <v>1817</v>
      </c>
      <c r="I312" s="24" t="s">
        <v>1739</v>
      </c>
      <c r="J312" s="24" t="s">
        <v>1818</v>
      </c>
      <c r="K312" s="24" t="s">
        <v>1818</v>
      </c>
      <c r="L312" s="26" t="s">
        <v>1819</v>
      </c>
      <c r="M312" s="27" t="s">
        <v>1820</v>
      </c>
      <c r="N312" s="28" t="e">
        <f>VLOOKUP(Table1[[#This Row],[ID TOKO]],Data_Aktual,4,FALSE)</f>
        <v>#N/A</v>
      </c>
      <c r="O312" s="29" t="s">
        <v>2562</v>
      </c>
      <c r="R312" s="5"/>
      <c r="S312" s="5"/>
    </row>
    <row r="313" spans="1:20" s="1" customFormat="1" ht="20.25" customHeight="1" x14ac:dyDescent="0.25">
      <c r="A313" s="1">
        <v>1</v>
      </c>
      <c r="B313" s="23">
        <v>307</v>
      </c>
      <c r="C313" s="24" t="s">
        <v>13</v>
      </c>
      <c r="D313" s="24" t="s">
        <v>1821</v>
      </c>
      <c r="E313" s="24" t="s">
        <v>1822</v>
      </c>
      <c r="F313" s="24" t="s">
        <v>1823</v>
      </c>
      <c r="G313" s="25" t="s">
        <v>1824</v>
      </c>
      <c r="H313" s="24" t="s">
        <v>1825</v>
      </c>
      <c r="I313" s="24" t="s">
        <v>1739</v>
      </c>
      <c r="J313" s="24" t="s">
        <v>1826</v>
      </c>
      <c r="K313" s="24" t="s">
        <v>1826</v>
      </c>
      <c r="L313" s="26" t="s">
        <v>1827</v>
      </c>
      <c r="M313" s="25"/>
      <c r="N313" s="28" t="e">
        <f>VLOOKUP(Table1[[#This Row],[ID TOKO]],Data_Aktual,4,FALSE)</f>
        <v>#N/A</v>
      </c>
      <c r="O313" s="29" t="s">
        <v>2560</v>
      </c>
      <c r="R313" s="5"/>
      <c r="S313" s="5"/>
    </row>
    <row r="314" spans="1:20" s="1" customFormat="1" ht="20.25" customHeight="1" x14ac:dyDescent="0.25">
      <c r="A314" s="1">
        <v>1</v>
      </c>
      <c r="B314" s="23">
        <v>308</v>
      </c>
      <c r="C314" s="24" t="s">
        <v>13</v>
      </c>
      <c r="D314" s="24" t="s">
        <v>1828</v>
      </c>
      <c r="E314" s="24" t="s">
        <v>1829</v>
      </c>
      <c r="F314" s="24" t="s">
        <v>1830</v>
      </c>
      <c r="G314" s="25" t="s">
        <v>1831</v>
      </c>
      <c r="H314" s="24" t="s">
        <v>1832</v>
      </c>
      <c r="I314" s="24" t="s">
        <v>1739</v>
      </c>
      <c r="J314" s="24" t="s">
        <v>1826</v>
      </c>
      <c r="K314" s="24" t="s">
        <v>1826</v>
      </c>
      <c r="L314" s="26" t="s">
        <v>1833</v>
      </c>
      <c r="M314" s="25"/>
      <c r="N314" s="28" t="e">
        <f>VLOOKUP(Table1[[#This Row],[ID TOKO]],Data_Aktual,4,FALSE)</f>
        <v>#N/A</v>
      </c>
      <c r="O314" s="29" t="s">
        <v>2556</v>
      </c>
      <c r="R314" s="5"/>
      <c r="S314" s="5"/>
    </row>
    <row r="315" spans="1:20" s="1" customFormat="1" ht="20.25" customHeight="1" x14ac:dyDescent="0.3">
      <c r="A315" s="1">
        <v>1</v>
      </c>
      <c r="B315" s="23">
        <v>309</v>
      </c>
      <c r="C315" s="24" t="s">
        <v>13</v>
      </c>
      <c r="D315" s="24" t="s">
        <v>1834</v>
      </c>
      <c r="E315" s="24" t="s">
        <v>1835</v>
      </c>
      <c r="F315" s="24" t="s">
        <v>1836</v>
      </c>
      <c r="G315" s="25" t="s">
        <v>1837</v>
      </c>
      <c r="H315" s="24" t="s">
        <v>1832</v>
      </c>
      <c r="I315" s="24" t="s">
        <v>1739</v>
      </c>
      <c r="J315" s="24" t="s">
        <v>1826</v>
      </c>
      <c r="K315" s="24" t="s">
        <v>1826</v>
      </c>
      <c r="L315" s="26" t="s">
        <v>1838</v>
      </c>
      <c r="M315" s="27" t="s">
        <v>1839</v>
      </c>
      <c r="N315" s="28" t="e">
        <f>VLOOKUP(Table1[[#This Row],[ID TOKO]],Data_Aktual,4,FALSE)</f>
        <v>#N/A</v>
      </c>
      <c r="O315" s="29" t="s">
        <v>2554</v>
      </c>
      <c r="R315" s="5"/>
      <c r="S315" s="5"/>
    </row>
    <row r="316" spans="1:20" s="4" customFormat="1" ht="20.25" customHeight="1" x14ac:dyDescent="0.3">
      <c r="A316" s="1">
        <v>1</v>
      </c>
      <c r="B316" s="23">
        <v>310</v>
      </c>
      <c r="C316" s="24" t="s">
        <v>13</v>
      </c>
      <c r="D316" s="24" t="s">
        <v>1840</v>
      </c>
      <c r="E316" s="24" t="s">
        <v>1841</v>
      </c>
      <c r="F316" s="24" t="s">
        <v>1842</v>
      </c>
      <c r="G316" s="25" t="s">
        <v>1843</v>
      </c>
      <c r="H316" s="24" t="s">
        <v>1844</v>
      </c>
      <c r="I316" s="24" t="s">
        <v>1739</v>
      </c>
      <c r="J316" s="24" t="s">
        <v>1826</v>
      </c>
      <c r="K316" s="24" t="s">
        <v>1826</v>
      </c>
      <c r="L316" s="26" t="s">
        <v>1845</v>
      </c>
      <c r="M316" s="27" t="s">
        <v>1846</v>
      </c>
      <c r="N316" s="28" t="e">
        <f>VLOOKUP(Table1[[#This Row],[ID TOKO]],Data_Aktual,4,FALSE)</f>
        <v>#N/A</v>
      </c>
      <c r="O316" s="29" t="s">
        <v>2552</v>
      </c>
      <c r="P316" s="1"/>
      <c r="R316" s="5"/>
      <c r="S316" s="5"/>
      <c r="T316" s="1"/>
    </row>
    <row r="317" spans="1:20" s="1" customFormat="1" ht="20.25" customHeight="1" x14ac:dyDescent="0.25">
      <c r="A317" s="1">
        <v>1</v>
      </c>
      <c r="B317" s="23">
        <v>311</v>
      </c>
      <c r="C317" s="24" t="s">
        <v>13</v>
      </c>
      <c r="D317" s="24" t="s">
        <v>1847</v>
      </c>
      <c r="E317" s="24"/>
      <c r="F317" s="24" t="s">
        <v>1848</v>
      </c>
      <c r="G317" s="25" t="s">
        <v>1849</v>
      </c>
      <c r="H317" s="24" t="s">
        <v>1850</v>
      </c>
      <c r="I317" s="24" t="s">
        <v>1739</v>
      </c>
      <c r="J317" s="24" t="s">
        <v>1850</v>
      </c>
      <c r="K317" s="24" t="s">
        <v>1826</v>
      </c>
      <c r="L317" s="41" t="s">
        <v>1851</v>
      </c>
      <c r="M317" s="30"/>
      <c r="N317" s="28" t="e">
        <f>VLOOKUP(Table1[[#This Row],[ID TOKO]],Data_Aktual,4,FALSE)</f>
        <v>#N/A</v>
      </c>
      <c r="O317" s="29" t="s">
        <v>2406</v>
      </c>
      <c r="R317" s="5"/>
      <c r="S317" s="5"/>
    </row>
    <row r="318" spans="1:20" s="1" customFormat="1" ht="20.25" customHeight="1" x14ac:dyDescent="0.3">
      <c r="A318" s="1">
        <v>1</v>
      </c>
      <c r="B318" s="23">
        <v>312</v>
      </c>
      <c r="C318" s="24" t="s">
        <v>13</v>
      </c>
      <c r="D318" s="24" t="s">
        <v>1852</v>
      </c>
      <c r="E318" s="24" t="s">
        <v>1853</v>
      </c>
      <c r="F318" s="24" t="s">
        <v>1854</v>
      </c>
      <c r="G318" s="33" t="s">
        <v>1855</v>
      </c>
      <c r="H318" s="24" t="s">
        <v>1856</v>
      </c>
      <c r="I318" s="24" t="s">
        <v>19</v>
      </c>
      <c r="J318" s="24" t="s">
        <v>1857</v>
      </c>
      <c r="K318" s="24" t="s">
        <v>1857</v>
      </c>
      <c r="L318" s="26" t="s">
        <v>1858</v>
      </c>
      <c r="M318" s="27" t="s">
        <v>1859</v>
      </c>
      <c r="N318" s="28" t="e">
        <f>VLOOKUP(Table1[[#This Row],[ID TOKO]],Data_Aktual,4,FALSE)</f>
        <v>#N/A</v>
      </c>
      <c r="O318" s="29" t="s">
        <v>2550</v>
      </c>
      <c r="R318" s="5"/>
      <c r="S318" s="5"/>
    </row>
    <row r="319" spans="1:20" s="1" customFormat="1" ht="20.25" customHeight="1" x14ac:dyDescent="0.3">
      <c r="A319" s="1">
        <v>1</v>
      </c>
      <c r="B319" s="23">
        <v>313</v>
      </c>
      <c r="C319" s="24" t="s">
        <v>13</v>
      </c>
      <c r="D319" s="24" t="s">
        <v>1860</v>
      </c>
      <c r="E319" s="24" t="s">
        <v>1861</v>
      </c>
      <c r="F319" s="24" t="s">
        <v>1862</v>
      </c>
      <c r="G319" s="33" t="s">
        <v>1863</v>
      </c>
      <c r="H319" s="24" t="s">
        <v>1864</v>
      </c>
      <c r="I319" s="24" t="s">
        <v>19</v>
      </c>
      <c r="J319" s="24" t="s">
        <v>1857</v>
      </c>
      <c r="K319" s="24" t="s">
        <v>1857</v>
      </c>
      <c r="L319" s="26" t="s">
        <v>1865</v>
      </c>
      <c r="M319" s="27" t="s">
        <v>1866</v>
      </c>
      <c r="N319" s="28" t="e">
        <f>VLOOKUP(Table1[[#This Row],[ID TOKO]],Data_Aktual,4,FALSE)</f>
        <v>#N/A</v>
      </c>
      <c r="O319" s="29" t="s">
        <v>2548</v>
      </c>
      <c r="R319" s="5"/>
      <c r="S319" s="5"/>
    </row>
    <row r="320" spans="1:20" s="1" customFormat="1" ht="20.25" customHeight="1" x14ac:dyDescent="0.3">
      <c r="A320" s="1">
        <v>1</v>
      </c>
      <c r="B320" s="23">
        <v>314</v>
      </c>
      <c r="C320" s="24" t="s">
        <v>13</v>
      </c>
      <c r="D320" s="24" t="s">
        <v>1867</v>
      </c>
      <c r="E320" s="24" t="s">
        <v>1868</v>
      </c>
      <c r="F320" s="30" t="s">
        <v>1869</v>
      </c>
      <c r="G320" s="43" t="s">
        <v>1870</v>
      </c>
      <c r="H320" s="30" t="s">
        <v>1871</v>
      </c>
      <c r="I320" s="24" t="s">
        <v>19</v>
      </c>
      <c r="J320" s="30" t="s">
        <v>1857</v>
      </c>
      <c r="K320" s="30" t="s">
        <v>1857</v>
      </c>
      <c r="L320" s="44" t="s">
        <v>1872</v>
      </c>
      <c r="M320" s="27" t="s">
        <v>1873</v>
      </c>
      <c r="N320" s="28" t="e">
        <f>VLOOKUP(Table1[[#This Row],[ID TOKO]],Data_Aktual,4,FALSE)</f>
        <v>#N/A</v>
      </c>
      <c r="O320" s="29" t="s">
        <v>2546</v>
      </c>
      <c r="R320" s="5"/>
      <c r="S320" s="5"/>
    </row>
    <row r="321" spans="1:20" s="1" customFormat="1" ht="20.25" customHeight="1" x14ac:dyDescent="0.25">
      <c r="A321" s="1">
        <v>1</v>
      </c>
      <c r="B321" s="23">
        <v>315</v>
      </c>
      <c r="C321" s="24" t="s">
        <v>13</v>
      </c>
      <c r="D321" s="24" t="s">
        <v>1874</v>
      </c>
      <c r="E321" s="24" t="s">
        <v>1875</v>
      </c>
      <c r="F321" s="24" t="s">
        <v>1663</v>
      </c>
      <c r="G321" s="25" t="s">
        <v>1876</v>
      </c>
      <c r="H321" s="24" t="s">
        <v>1864</v>
      </c>
      <c r="I321" s="24" t="s">
        <v>19</v>
      </c>
      <c r="J321" s="24" t="s">
        <v>1857</v>
      </c>
      <c r="K321" s="24" t="s">
        <v>1857</v>
      </c>
      <c r="L321" s="26" t="s">
        <v>1877</v>
      </c>
      <c r="M321" s="25"/>
      <c r="N321" s="28" t="e">
        <f>VLOOKUP(Table1[[#This Row],[ID TOKO]],Data_Aktual,4,FALSE)</f>
        <v>#N/A</v>
      </c>
      <c r="O321" s="29" t="s">
        <v>2544</v>
      </c>
      <c r="R321" s="5"/>
      <c r="S321" s="5"/>
    </row>
    <row r="322" spans="1:20" s="1" customFormat="1" ht="20.25" customHeight="1" x14ac:dyDescent="0.25">
      <c r="A322" s="1">
        <v>1</v>
      </c>
      <c r="B322" s="23">
        <v>316</v>
      </c>
      <c r="C322" s="24" t="s">
        <v>13</v>
      </c>
      <c r="D322" s="24" t="s">
        <v>1878</v>
      </c>
      <c r="E322" s="24" t="s">
        <v>1879</v>
      </c>
      <c r="F322" s="30" t="s">
        <v>1880</v>
      </c>
      <c r="G322" s="43" t="s">
        <v>1881</v>
      </c>
      <c r="H322" s="30" t="s">
        <v>1871</v>
      </c>
      <c r="I322" s="24" t="s">
        <v>19</v>
      </c>
      <c r="J322" s="30" t="s">
        <v>1857</v>
      </c>
      <c r="K322" s="30" t="s">
        <v>1857</v>
      </c>
      <c r="L322" s="44" t="s">
        <v>1882</v>
      </c>
      <c r="M322" s="25"/>
      <c r="N322" s="28" t="e">
        <f>VLOOKUP(Table1[[#This Row],[ID TOKO]],Data_Aktual,4,FALSE)</f>
        <v>#N/A</v>
      </c>
      <c r="O322" s="29" t="s">
        <v>2542</v>
      </c>
      <c r="R322" s="5"/>
      <c r="S322" s="5"/>
    </row>
    <row r="323" spans="1:20" s="1" customFormat="1" ht="20.25" customHeight="1" x14ac:dyDescent="0.3">
      <c r="A323" s="1">
        <v>1</v>
      </c>
      <c r="B323" s="23">
        <v>317</v>
      </c>
      <c r="C323" s="24" t="s">
        <v>13</v>
      </c>
      <c r="D323" s="24" t="s">
        <v>1883</v>
      </c>
      <c r="E323" s="24" t="s">
        <v>1884</v>
      </c>
      <c r="F323" s="24" t="s">
        <v>1885</v>
      </c>
      <c r="G323" s="25" t="s">
        <v>1886</v>
      </c>
      <c r="H323" s="24" t="s">
        <v>1887</v>
      </c>
      <c r="I323" s="24" t="s">
        <v>19</v>
      </c>
      <c r="J323" s="30" t="s">
        <v>1857</v>
      </c>
      <c r="K323" s="24" t="s">
        <v>1857</v>
      </c>
      <c r="L323" s="26" t="s">
        <v>1888</v>
      </c>
      <c r="M323" s="27" t="s">
        <v>1889</v>
      </c>
      <c r="N323" s="28" t="e">
        <f>VLOOKUP(Table1[[#This Row],[ID TOKO]],Data_Aktual,4,FALSE)</f>
        <v>#N/A</v>
      </c>
      <c r="O323" s="29" t="s">
        <v>2540</v>
      </c>
      <c r="R323" s="5"/>
      <c r="S323" s="5"/>
    </row>
    <row r="324" spans="1:20" s="1" customFormat="1" ht="20.25" customHeight="1" x14ac:dyDescent="0.25">
      <c r="A324" s="1">
        <v>1</v>
      </c>
      <c r="B324" s="23">
        <v>318</v>
      </c>
      <c r="C324" s="24" t="s">
        <v>13</v>
      </c>
      <c r="D324" s="24" t="s">
        <v>1890</v>
      </c>
      <c r="E324" s="24" t="s">
        <v>1891</v>
      </c>
      <c r="F324" s="24" t="s">
        <v>1892</v>
      </c>
      <c r="G324" s="25" t="s">
        <v>1893</v>
      </c>
      <c r="H324" s="24" t="s">
        <v>1894</v>
      </c>
      <c r="I324" s="24" t="s">
        <v>19</v>
      </c>
      <c r="J324" s="24" t="s">
        <v>1857</v>
      </c>
      <c r="K324" s="24" t="s">
        <v>1857</v>
      </c>
      <c r="L324" s="26" t="s">
        <v>1895</v>
      </c>
      <c r="M324" s="25"/>
      <c r="N324" s="28" t="e">
        <f>VLOOKUP(Table1[[#This Row],[ID TOKO]],Data_Aktual,4,FALSE)</f>
        <v>#N/A</v>
      </c>
      <c r="O324" s="29" t="s">
        <v>3126</v>
      </c>
      <c r="R324" s="5"/>
      <c r="S324" s="5"/>
    </row>
    <row r="325" spans="1:20" s="1" customFormat="1" ht="20.25" customHeight="1" x14ac:dyDescent="0.3">
      <c r="A325" s="1">
        <v>1</v>
      </c>
      <c r="B325" s="23">
        <v>319</v>
      </c>
      <c r="C325" s="24" t="s">
        <v>13</v>
      </c>
      <c r="D325" s="24" t="s">
        <v>1896</v>
      </c>
      <c r="E325" s="24" t="s">
        <v>1897</v>
      </c>
      <c r="F325" s="24" t="s">
        <v>1898</v>
      </c>
      <c r="G325" s="25" t="s">
        <v>1899</v>
      </c>
      <c r="H325" s="24" t="s">
        <v>1856</v>
      </c>
      <c r="I325" s="24" t="s">
        <v>19</v>
      </c>
      <c r="J325" s="24" t="s">
        <v>1857</v>
      </c>
      <c r="K325" s="24" t="s">
        <v>1857</v>
      </c>
      <c r="L325" s="26" t="s">
        <v>1900</v>
      </c>
      <c r="M325" s="27" t="s">
        <v>1901</v>
      </c>
      <c r="N325" s="28" t="e">
        <f>VLOOKUP(Table1[[#This Row],[ID TOKO]],Data_Aktual,4,FALSE)</f>
        <v>#N/A</v>
      </c>
      <c r="O325" s="29" t="s">
        <v>2536</v>
      </c>
      <c r="R325" s="5"/>
      <c r="S325" s="5"/>
    </row>
    <row r="326" spans="1:20" s="1" customFormat="1" ht="20.25" customHeight="1" x14ac:dyDescent="0.3">
      <c r="A326" s="1">
        <v>1</v>
      </c>
      <c r="B326" s="23">
        <v>320</v>
      </c>
      <c r="C326" s="24" t="s">
        <v>13</v>
      </c>
      <c r="D326" s="24" t="s">
        <v>1902</v>
      </c>
      <c r="E326" s="24" t="s">
        <v>1903</v>
      </c>
      <c r="F326" s="24" t="s">
        <v>1904</v>
      </c>
      <c r="G326" s="25" t="s">
        <v>1905</v>
      </c>
      <c r="H326" s="24" t="s">
        <v>1856</v>
      </c>
      <c r="I326" s="24" t="s">
        <v>19</v>
      </c>
      <c r="J326" s="24" t="s">
        <v>1857</v>
      </c>
      <c r="K326" s="24" t="s">
        <v>1857</v>
      </c>
      <c r="L326" s="26" t="s">
        <v>1906</v>
      </c>
      <c r="M326" s="27" t="s">
        <v>1907</v>
      </c>
      <c r="N326" s="28" t="e">
        <f>VLOOKUP(Table1[[#This Row],[ID TOKO]],Data_Aktual,4,FALSE)</f>
        <v>#N/A</v>
      </c>
      <c r="O326" s="29" t="s">
        <v>2534</v>
      </c>
      <c r="R326" s="5"/>
      <c r="S326" s="5"/>
    </row>
    <row r="327" spans="1:20" s="1" customFormat="1" ht="20.25" customHeight="1" x14ac:dyDescent="0.3">
      <c r="A327" s="1">
        <v>1</v>
      </c>
      <c r="B327" s="23">
        <v>321</v>
      </c>
      <c r="C327" s="24" t="s">
        <v>13</v>
      </c>
      <c r="D327" s="24" t="s">
        <v>1908</v>
      </c>
      <c r="E327" s="24" t="s">
        <v>1909</v>
      </c>
      <c r="F327" s="24" t="s">
        <v>1910</v>
      </c>
      <c r="G327" s="25" t="s">
        <v>1911</v>
      </c>
      <c r="H327" s="24" t="s">
        <v>1856</v>
      </c>
      <c r="I327" s="24" t="s">
        <v>19</v>
      </c>
      <c r="J327" s="24" t="s">
        <v>1857</v>
      </c>
      <c r="K327" s="24" t="s">
        <v>1857</v>
      </c>
      <c r="L327" s="26" t="s">
        <v>1912</v>
      </c>
      <c r="M327" s="27" t="s">
        <v>1913</v>
      </c>
      <c r="N327" s="28" t="e">
        <f>VLOOKUP(Table1[[#This Row],[ID TOKO]],Data_Aktual,4,FALSE)</f>
        <v>#N/A</v>
      </c>
      <c r="O327" s="29" t="s">
        <v>2532</v>
      </c>
      <c r="R327" s="5"/>
      <c r="S327" s="5"/>
    </row>
    <row r="328" spans="1:20" s="1" customFormat="1" ht="20.25" customHeight="1" x14ac:dyDescent="0.3">
      <c r="A328" s="1">
        <v>1</v>
      </c>
      <c r="B328" s="23">
        <v>322</v>
      </c>
      <c r="C328" s="24" t="s">
        <v>13</v>
      </c>
      <c r="D328" s="24" t="s">
        <v>1914</v>
      </c>
      <c r="E328" s="24" t="s">
        <v>1915</v>
      </c>
      <c r="F328" s="24" t="s">
        <v>1916</v>
      </c>
      <c r="G328" s="25" t="s">
        <v>1917</v>
      </c>
      <c r="H328" s="24" t="s">
        <v>1918</v>
      </c>
      <c r="I328" s="24" t="s">
        <v>19</v>
      </c>
      <c r="J328" s="24" t="s">
        <v>1857</v>
      </c>
      <c r="K328" s="24" t="s">
        <v>1857</v>
      </c>
      <c r="L328" s="26" t="s">
        <v>1919</v>
      </c>
      <c r="M328" s="27" t="s">
        <v>1920</v>
      </c>
      <c r="N328" s="28" t="e">
        <f>VLOOKUP(Table1[[#This Row],[ID TOKO]],Data_Aktual,4,FALSE)</f>
        <v>#N/A</v>
      </c>
      <c r="O328" s="29" t="s">
        <v>2531</v>
      </c>
      <c r="R328" s="5"/>
      <c r="S328" s="5"/>
    </row>
    <row r="329" spans="1:20" s="4" customFormat="1" ht="20.25" customHeight="1" x14ac:dyDescent="0.3">
      <c r="A329" s="1">
        <v>1</v>
      </c>
      <c r="B329" s="23">
        <v>323</v>
      </c>
      <c r="C329" s="24" t="s">
        <v>13</v>
      </c>
      <c r="D329" s="24" t="s">
        <v>1921</v>
      </c>
      <c r="E329" s="24" t="s">
        <v>1922</v>
      </c>
      <c r="F329" s="24" t="s">
        <v>1923</v>
      </c>
      <c r="G329" s="25" t="s">
        <v>1924</v>
      </c>
      <c r="H329" s="24" t="s">
        <v>1856</v>
      </c>
      <c r="I329" s="24" t="s">
        <v>19</v>
      </c>
      <c r="J329" s="24" t="s">
        <v>1857</v>
      </c>
      <c r="K329" s="24" t="s">
        <v>1857</v>
      </c>
      <c r="L329" s="26" t="s">
        <v>1925</v>
      </c>
      <c r="M329" s="27" t="s">
        <v>1926</v>
      </c>
      <c r="N329" s="28" t="e">
        <f>VLOOKUP(Table1[[#This Row],[ID TOKO]],Data_Aktual,4,FALSE)</f>
        <v>#N/A</v>
      </c>
      <c r="O329" s="29" t="s">
        <v>2529</v>
      </c>
      <c r="P329" s="1"/>
      <c r="R329" s="5"/>
      <c r="S329" s="5"/>
      <c r="T329" s="1"/>
    </row>
    <row r="330" spans="1:20" s="4" customFormat="1" ht="20.25" customHeight="1" x14ac:dyDescent="0.25">
      <c r="A330" s="1">
        <v>1</v>
      </c>
      <c r="B330" s="23">
        <v>324</v>
      </c>
      <c r="C330" s="24" t="s">
        <v>13</v>
      </c>
      <c r="D330" s="24" t="s">
        <v>1927</v>
      </c>
      <c r="E330" s="24" t="s">
        <v>1928</v>
      </c>
      <c r="F330" s="24" t="s">
        <v>1929</v>
      </c>
      <c r="G330" s="25" t="s">
        <v>1930</v>
      </c>
      <c r="H330" s="24" t="s">
        <v>1931</v>
      </c>
      <c r="I330" s="24" t="s">
        <v>19</v>
      </c>
      <c r="J330" s="24" t="s">
        <v>1857</v>
      </c>
      <c r="K330" s="24" t="s">
        <v>1857</v>
      </c>
      <c r="L330" s="26" t="s">
        <v>1932</v>
      </c>
      <c r="M330" s="25"/>
      <c r="N330" s="28" t="e">
        <f>VLOOKUP(Table1[[#This Row],[ID TOKO]],Data_Aktual,4,FALSE)</f>
        <v>#N/A</v>
      </c>
      <c r="O330" s="29" t="s">
        <v>2527</v>
      </c>
      <c r="P330" s="1"/>
      <c r="R330" s="5"/>
      <c r="S330" s="5"/>
      <c r="T330" s="1"/>
    </row>
    <row r="331" spans="1:20" s="4" customFormat="1" ht="20.25" customHeight="1" x14ac:dyDescent="0.25">
      <c r="A331" s="1">
        <v>1</v>
      </c>
      <c r="B331" s="23">
        <v>325</v>
      </c>
      <c r="C331" s="24" t="s">
        <v>13</v>
      </c>
      <c r="D331" s="24" t="s">
        <v>1933</v>
      </c>
      <c r="E331" s="24" t="s">
        <v>1934</v>
      </c>
      <c r="F331" s="24" t="s">
        <v>1935</v>
      </c>
      <c r="G331" s="25" t="s">
        <v>1936</v>
      </c>
      <c r="H331" s="24" t="s">
        <v>1937</v>
      </c>
      <c r="I331" s="24" t="s">
        <v>19</v>
      </c>
      <c r="J331" s="24" t="s">
        <v>1857</v>
      </c>
      <c r="K331" s="24" t="s">
        <v>1857</v>
      </c>
      <c r="L331" s="26" t="s">
        <v>1938</v>
      </c>
      <c r="M331" s="25"/>
      <c r="N331" s="28" t="e">
        <f>VLOOKUP(Table1[[#This Row],[ID TOKO]],Data_Aktual,4,FALSE)</f>
        <v>#N/A</v>
      </c>
      <c r="O331" s="29" t="s">
        <v>2525</v>
      </c>
      <c r="P331" s="1"/>
      <c r="R331" s="5"/>
      <c r="S331" s="5"/>
      <c r="T331" s="1"/>
    </row>
    <row r="332" spans="1:20" s="4" customFormat="1" ht="20.25" customHeight="1" x14ac:dyDescent="0.25">
      <c r="A332" s="1">
        <v>1</v>
      </c>
      <c r="B332" s="23">
        <v>326</v>
      </c>
      <c r="C332" s="24" t="s">
        <v>13</v>
      </c>
      <c r="D332" s="24" t="s">
        <v>1939</v>
      </c>
      <c r="E332" s="24" t="s">
        <v>1940</v>
      </c>
      <c r="F332" s="24" t="s">
        <v>1941</v>
      </c>
      <c r="G332" s="25" t="s">
        <v>1942</v>
      </c>
      <c r="H332" s="24" t="s">
        <v>1864</v>
      </c>
      <c r="I332" s="24" t="s">
        <v>19</v>
      </c>
      <c r="J332" s="24" t="s">
        <v>1857</v>
      </c>
      <c r="K332" s="24" t="s">
        <v>1857</v>
      </c>
      <c r="L332" s="26" t="s">
        <v>1943</v>
      </c>
      <c r="M332" s="25"/>
      <c r="N332" s="28" t="e">
        <f>VLOOKUP(Table1[[#This Row],[ID TOKO]],Data_Aktual,4,FALSE)</f>
        <v>#N/A</v>
      </c>
      <c r="O332" s="29" t="s">
        <v>2523</v>
      </c>
      <c r="P332" s="1"/>
      <c r="R332" s="5"/>
      <c r="S332" s="5"/>
      <c r="T332" s="1"/>
    </row>
    <row r="333" spans="1:20" s="4" customFormat="1" ht="20.25" customHeight="1" x14ac:dyDescent="0.3">
      <c r="A333" s="1">
        <v>1</v>
      </c>
      <c r="B333" s="23">
        <v>327</v>
      </c>
      <c r="C333" s="24" t="s">
        <v>13</v>
      </c>
      <c r="D333" s="24" t="s">
        <v>1944</v>
      </c>
      <c r="E333" s="24" t="s">
        <v>1945</v>
      </c>
      <c r="F333" s="24" t="s">
        <v>50</v>
      </c>
      <c r="G333" s="40" t="s">
        <v>1946</v>
      </c>
      <c r="H333" s="24" t="s">
        <v>1856</v>
      </c>
      <c r="I333" s="24" t="s">
        <v>19</v>
      </c>
      <c r="J333" s="24" t="s">
        <v>1857</v>
      </c>
      <c r="K333" s="24" t="s">
        <v>1857</v>
      </c>
      <c r="L333" s="26" t="s">
        <v>1947</v>
      </c>
      <c r="M333" s="27" t="s">
        <v>1948</v>
      </c>
      <c r="N333" s="28" t="e">
        <f>VLOOKUP(Table1[[#This Row],[ID TOKO]],Data_Aktual,4,FALSE)</f>
        <v>#N/A</v>
      </c>
      <c r="O333" s="29" t="s">
        <v>2518</v>
      </c>
      <c r="P333" s="1"/>
      <c r="R333" s="5"/>
      <c r="S333" s="5"/>
      <c r="T333" s="1"/>
    </row>
    <row r="334" spans="1:20" s="4" customFormat="1" ht="20.25" customHeight="1" x14ac:dyDescent="0.25">
      <c r="A334" s="1">
        <v>1</v>
      </c>
      <c r="B334" s="23">
        <v>328</v>
      </c>
      <c r="C334" s="24" t="s">
        <v>13</v>
      </c>
      <c r="D334" s="24" t="s">
        <v>1949</v>
      </c>
      <c r="E334" s="24" t="s">
        <v>1950</v>
      </c>
      <c r="F334" s="24" t="s">
        <v>1951</v>
      </c>
      <c r="G334" s="33" t="s">
        <v>1952</v>
      </c>
      <c r="H334" s="24" t="s">
        <v>1856</v>
      </c>
      <c r="I334" s="24" t="s">
        <v>19</v>
      </c>
      <c r="J334" s="24" t="s">
        <v>1857</v>
      </c>
      <c r="K334" s="24" t="s">
        <v>1857</v>
      </c>
      <c r="L334" s="26" t="s">
        <v>1953</v>
      </c>
      <c r="M334" s="25"/>
      <c r="N334" s="28" t="e">
        <f>VLOOKUP(Table1[[#This Row],[ID TOKO]],Data_Aktual,4,FALSE)</f>
        <v>#N/A</v>
      </c>
      <c r="O334" s="29" t="s">
        <v>2516</v>
      </c>
      <c r="P334" s="1"/>
      <c r="R334" s="5"/>
      <c r="S334" s="5"/>
      <c r="T334" s="1"/>
    </row>
    <row r="335" spans="1:20" s="4" customFormat="1" ht="20.25" customHeight="1" x14ac:dyDescent="0.3">
      <c r="A335" s="1">
        <v>1</v>
      </c>
      <c r="B335" s="23">
        <v>329</v>
      </c>
      <c r="C335" s="24" t="s">
        <v>13</v>
      </c>
      <c r="D335" s="24" t="s">
        <v>1954</v>
      </c>
      <c r="E335" s="24" t="s">
        <v>1955</v>
      </c>
      <c r="F335" s="30" t="s">
        <v>1956</v>
      </c>
      <c r="G335" s="30" t="s">
        <v>1957</v>
      </c>
      <c r="H335" s="30" t="s">
        <v>1958</v>
      </c>
      <c r="I335" s="24" t="s">
        <v>19</v>
      </c>
      <c r="J335" s="24" t="s">
        <v>1857</v>
      </c>
      <c r="K335" s="30" t="s">
        <v>1857</v>
      </c>
      <c r="L335" s="30" t="s">
        <v>1959</v>
      </c>
      <c r="M335" s="27" t="s">
        <v>1960</v>
      </c>
      <c r="N335" s="28" t="e">
        <f>VLOOKUP(Table1[[#This Row],[ID TOKO]],Data_Aktual,4,FALSE)</f>
        <v>#N/A</v>
      </c>
      <c r="O335" s="29" t="s">
        <v>2514</v>
      </c>
      <c r="P335" s="1"/>
      <c r="R335" s="5"/>
      <c r="S335" s="5"/>
      <c r="T335" s="1"/>
    </row>
    <row r="336" spans="1:20" s="4" customFormat="1" ht="20.25" customHeight="1" x14ac:dyDescent="0.25">
      <c r="A336" s="1">
        <v>1</v>
      </c>
      <c r="B336" s="23">
        <v>330</v>
      </c>
      <c r="C336" s="24" t="s">
        <v>13</v>
      </c>
      <c r="D336" s="24" t="s">
        <v>1961</v>
      </c>
      <c r="E336" s="24" t="s">
        <v>1962</v>
      </c>
      <c r="F336" s="24" t="s">
        <v>1963</v>
      </c>
      <c r="G336" s="25" t="s">
        <v>1964</v>
      </c>
      <c r="H336" s="24" t="s">
        <v>1965</v>
      </c>
      <c r="I336" s="24" t="s">
        <v>19</v>
      </c>
      <c r="J336" s="24" t="s">
        <v>1857</v>
      </c>
      <c r="K336" s="24" t="s">
        <v>1857</v>
      </c>
      <c r="L336" s="26" t="s">
        <v>1966</v>
      </c>
      <c r="M336" s="25"/>
      <c r="N336" s="28" t="e">
        <f>VLOOKUP(Table1[[#This Row],[ID TOKO]],Data_Aktual,4,FALSE)</f>
        <v>#N/A</v>
      </c>
      <c r="O336" s="29" t="s">
        <v>2512</v>
      </c>
      <c r="P336" s="1"/>
      <c r="R336" s="5"/>
      <c r="S336" s="5"/>
      <c r="T336" s="1"/>
    </row>
    <row r="337" spans="1:20" s="4" customFormat="1" ht="20.25" customHeight="1" x14ac:dyDescent="0.25">
      <c r="A337" s="1">
        <v>1</v>
      </c>
      <c r="B337" s="23">
        <v>331</v>
      </c>
      <c r="C337" s="24" t="s">
        <v>13</v>
      </c>
      <c r="D337" s="24" t="s">
        <v>1967</v>
      </c>
      <c r="E337" s="24" t="s">
        <v>1968</v>
      </c>
      <c r="F337" s="24" t="s">
        <v>1969</v>
      </c>
      <c r="G337" s="33" t="s">
        <v>1970</v>
      </c>
      <c r="H337" s="24" t="s">
        <v>1864</v>
      </c>
      <c r="I337" s="24" t="s">
        <v>19</v>
      </c>
      <c r="J337" s="24" t="s">
        <v>1857</v>
      </c>
      <c r="K337" s="24" t="s">
        <v>1857</v>
      </c>
      <c r="L337" s="26" t="s">
        <v>1971</v>
      </c>
      <c r="M337" s="25"/>
      <c r="N337" s="28" t="e">
        <f>VLOOKUP(Table1[[#This Row],[ID TOKO]],Data_Aktual,4,FALSE)</f>
        <v>#N/A</v>
      </c>
      <c r="O337" s="29" t="s">
        <v>2510</v>
      </c>
      <c r="P337" s="1"/>
      <c r="R337" s="5"/>
      <c r="S337" s="5"/>
      <c r="T337" s="1"/>
    </row>
    <row r="338" spans="1:20" s="4" customFormat="1" ht="20.25" customHeight="1" x14ac:dyDescent="0.25">
      <c r="A338" s="1">
        <v>1</v>
      </c>
      <c r="B338" s="23">
        <v>332</v>
      </c>
      <c r="C338" s="24" t="s">
        <v>13</v>
      </c>
      <c r="D338" s="24" t="s">
        <v>1972</v>
      </c>
      <c r="E338" s="24" t="s">
        <v>1973</v>
      </c>
      <c r="F338" s="24" t="s">
        <v>1974</v>
      </c>
      <c r="G338" s="25" t="s">
        <v>1975</v>
      </c>
      <c r="H338" s="24" t="s">
        <v>1894</v>
      </c>
      <c r="I338" s="24" t="s">
        <v>19</v>
      </c>
      <c r="J338" s="24" t="s">
        <v>1857</v>
      </c>
      <c r="K338" s="24" t="s">
        <v>1857</v>
      </c>
      <c r="L338" s="26" t="s">
        <v>1976</v>
      </c>
      <c r="M338" s="25"/>
      <c r="N338" s="28" t="e">
        <f>VLOOKUP(Table1[[#This Row],[ID TOKO]],Data_Aktual,4,FALSE)</f>
        <v>#N/A</v>
      </c>
      <c r="O338" s="29" t="s">
        <v>2538</v>
      </c>
      <c r="P338" s="1"/>
      <c r="R338" s="5"/>
      <c r="S338" s="5"/>
      <c r="T338" s="1"/>
    </row>
    <row r="339" spans="1:20" s="4" customFormat="1" ht="20.25" customHeight="1" x14ac:dyDescent="0.3">
      <c r="A339" s="1">
        <v>1</v>
      </c>
      <c r="B339" s="23">
        <v>333</v>
      </c>
      <c r="C339" s="24" t="s">
        <v>13</v>
      </c>
      <c r="D339" s="24" t="s">
        <v>1977</v>
      </c>
      <c r="E339" s="24" t="s">
        <v>1978</v>
      </c>
      <c r="F339" s="24" t="s">
        <v>1979</v>
      </c>
      <c r="G339" s="33" t="s">
        <v>1980</v>
      </c>
      <c r="H339" s="24" t="s">
        <v>1981</v>
      </c>
      <c r="I339" s="24" t="s">
        <v>19</v>
      </c>
      <c r="J339" s="24" t="s">
        <v>1982</v>
      </c>
      <c r="K339" s="24" t="s">
        <v>1982</v>
      </c>
      <c r="L339" s="26" t="s">
        <v>1983</v>
      </c>
      <c r="M339" s="27" t="s">
        <v>1984</v>
      </c>
      <c r="N339" s="28" t="e">
        <f>VLOOKUP(Table1[[#This Row],[ID TOKO]],Data_Aktual,4,FALSE)</f>
        <v>#N/A</v>
      </c>
      <c r="O339" s="29" t="s">
        <v>2508</v>
      </c>
      <c r="P339" s="1"/>
      <c r="R339" s="5"/>
      <c r="S339" s="5"/>
      <c r="T339" s="1"/>
    </row>
    <row r="340" spans="1:20" s="4" customFormat="1" ht="20.25" customHeight="1" x14ac:dyDescent="0.25">
      <c r="A340" s="1">
        <v>1</v>
      </c>
      <c r="B340" s="23">
        <v>334</v>
      </c>
      <c r="C340" s="24" t="s">
        <v>13</v>
      </c>
      <c r="D340" s="24" t="s">
        <v>1985</v>
      </c>
      <c r="E340" s="24" t="s">
        <v>1986</v>
      </c>
      <c r="F340" s="24" t="s">
        <v>1987</v>
      </c>
      <c r="G340" s="25" t="s">
        <v>1988</v>
      </c>
      <c r="H340" s="24" t="s">
        <v>1989</v>
      </c>
      <c r="I340" s="24" t="s">
        <v>19</v>
      </c>
      <c r="J340" s="24" t="s">
        <v>1982</v>
      </c>
      <c r="K340" s="24" t="s">
        <v>1982</v>
      </c>
      <c r="L340" s="26" t="s">
        <v>1990</v>
      </c>
      <c r="M340" s="25"/>
      <c r="N340" s="28" t="e">
        <f>VLOOKUP(Table1[[#This Row],[ID TOKO]],Data_Aktual,4,FALSE)</f>
        <v>#N/A</v>
      </c>
      <c r="O340" s="29" t="s">
        <v>2507</v>
      </c>
      <c r="P340" s="1"/>
      <c r="R340" s="5"/>
      <c r="S340" s="5"/>
      <c r="T340" s="1"/>
    </row>
    <row r="341" spans="1:20" s="4" customFormat="1" ht="20.25" customHeight="1" x14ac:dyDescent="0.3">
      <c r="A341" s="1">
        <v>1</v>
      </c>
      <c r="B341" s="23">
        <v>335</v>
      </c>
      <c r="C341" s="24" t="s">
        <v>13</v>
      </c>
      <c r="D341" s="24" t="s">
        <v>1991</v>
      </c>
      <c r="E341" s="24" t="s">
        <v>1992</v>
      </c>
      <c r="F341" s="24" t="s">
        <v>1987</v>
      </c>
      <c r="G341" s="25" t="s">
        <v>1993</v>
      </c>
      <c r="H341" s="24" t="s">
        <v>1989</v>
      </c>
      <c r="I341" s="24" t="s">
        <v>19</v>
      </c>
      <c r="J341" s="24" t="s">
        <v>1982</v>
      </c>
      <c r="K341" s="24" t="s">
        <v>1982</v>
      </c>
      <c r="L341" s="26" t="s">
        <v>1994</v>
      </c>
      <c r="M341" s="27" t="s">
        <v>1995</v>
      </c>
      <c r="N341" s="28" t="e">
        <f>VLOOKUP(Table1[[#This Row],[ID TOKO]],Data_Aktual,4,FALSE)</f>
        <v>#N/A</v>
      </c>
      <c r="O341" s="29" t="s">
        <v>2506</v>
      </c>
      <c r="P341" s="1"/>
      <c r="R341" s="5"/>
      <c r="S341" s="5"/>
      <c r="T341" s="1"/>
    </row>
    <row r="342" spans="1:20" s="4" customFormat="1" ht="20.25" customHeight="1" x14ac:dyDescent="0.3">
      <c r="A342" s="1">
        <v>1</v>
      </c>
      <c r="B342" s="23">
        <v>336</v>
      </c>
      <c r="C342" s="24" t="s">
        <v>13</v>
      </c>
      <c r="D342" s="24" t="s">
        <v>1996</v>
      </c>
      <c r="E342" s="24" t="s">
        <v>1997</v>
      </c>
      <c r="F342" s="24" t="s">
        <v>1998</v>
      </c>
      <c r="G342" s="25" t="s">
        <v>1999</v>
      </c>
      <c r="H342" s="24" t="s">
        <v>1989</v>
      </c>
      <c r="I342" s="24" t="s">
        <v>19</v>
      </c>
      <c r="J342" s="24" t="s">
        <v>1982</v>
      </c>
      <c r="K342" s="24" t="s">
        <v>1982</v>
      </c>
      <c r="L342" s="26" t="s">
        <v>2000</v>
      </c>
      <c r="M342" s="27" t="s">
        <v>2001</v>
      </c>
      <c r="N342" s="28" t="e">
        <f>VLOOKUP(Table1[[#This Row],[ID TOKO]],Data_Aktual,4,FALSE)</f>
        <v>#N/A</v>
      </c>
      <c r="O342" s="29" t="s">
        <v>2504</v>
      </c>
      <c r="P342" s="1"/>
      <c r="R342" s="5"/>
      <c r="S342" s="5"/>
      <c r="T342" s="1"/>
    </row>
    <row r="343" spans="1:20" s="4" customFormat="1" ht="20.25" customHeight="1" x14ac:dyDescent="0.25">
      <c r="A343" s="1">
        <v>1</v>
      </c>
      <c r="B343" s="23">
        <v>337</v>
      </c>
      <c r="C343" s="24" t="s">
        <v>13</v>
      </c>
      <c r="D343" s="24" t="s">
        <v>2002</v>
      </c>
      <c r="E343" s="24" t="s">
        <v>2003</v>
      </c>
      <c r="F343" s="24" t="s">
        <v>2004</v>
      </c>
      <c r="G343" s="25" t="s">
        <v>2005</v>
      </c>
      <c r="H343" s="24" t="s">
        <v>1989</v>
      </c>
      <c r="I343" s="24" t="s">
        <v>19</v>
      </c>
      <c r="J343" s="24" t="s">
        <v>1982</v>
      </c>
      <c r="K343" s="24" t="s">
        <v>1982</v>
      </c>
      <c r="L343" s="26" t="s">
        <v>2006</v>
      </c>
      <c r="M343" s="25"/>
      <c r="N343" s="28" t="e">
        <f>VLOOKUP(Table1[[#This Row],[ID TOKO]],Data_Aktual,4,FALSE)</f>
        <v>#N/A</v>
      </c>
      <c r="O343" s="29" t="s">
        <v>2502</v>
      </c>
      <c r="P343" s="1"/>
      <c r="R343" s="5"/>
      <c r="S343" s="5"/>
      <c r="T343" s="1"/>
    </row>
    <row r="344" spans="1:20" s="4" customFormat="1" ht="20.25" customHeight="1" x14ac:dyDescent="0.25">
      <c r="A344" s="1">
        <v>1</v>
      </c>
      <c r="B344" s="23">
        <v>338</v>
      </c>
      <c r="C344" s="24" t="s">
        <v>13</v>
      </c>
      <c r="D344" s="24" t="s">
        <v>2007</v>
      </c>
      <c r="E344" s="24" t="s">
        <v>2008</v>
      </c>
      <c r="F344" s="24" t="s">
        <v>2009</v>
      </c>
      <c r="G344" s="25" t="s">
        <v>2010</v>
      </c>
      <c r="H344" s="24" t="s">
        <v>2011</v>
      </c>
      <c r="I344" s="24" t="s">
        <v>19</v>
      </c>
      <c r="J344" s="24" t="s">
        <v>1982</v>
      </c>
      <c r="K344" s="24" t="s">
        <v>1982</v>
      </c>
      <c r="L344" s="26" t="s">
        <v>2006</v>
      </c>
      <c r="M344" s="25"/>
      <c r="N344" s="28" t="e">
        <f>VLOOKUP(Table1[[#This Row],[ID TOKO]],Data_Aktual,4,FALSE)</f>
        <v>#N/A</v>
      </c>
      <c r="O344" s="29" t="s">
        <v>2500</v>
      </c>
      <c r="P344" s="1"/>
      <c r="R344" s="5"/>
      <c r="S344" s="5"/>
      <c r="T344" s="1"/>
    </row>
    <row r="345" spans="1:20" s="4" customFormat="1" ht="20.25" customHeight="1" x14ac:dyDescent="0.25">
      <c r="A345" s="1">
        <v>1</v>
      </c>
      <c r="B345" s="23">
        <v>339</v>
      </c>
      <c r="C345" s="24" t="s">
        <v>13</v>
      </c>
      <c r="D345" s="24" t="s">
        <v>2012</v>
      </c>
      <c r="E345" s="24" t="s">
        <v>2013</v>
      </c>
      <c r="F345" s="24" t="s">
        <v>2014</v>
      </c>
      <c r="G345" s="25" t="s">
        <v>2015</v>
      </c>
      <c r="H345" s="24" t="s">
        <v>2016</v>
      </c>
      <c r="I345" s="24" t="s">
        <v>19</v>
      </c>
      <c r="J345" s="24" t="s">
        <v>1982</v>
      </c>
      <c r="K345" s="24" t="s">
        <v>1982</v>
      </c>
      <c r="L345" s="26" t="s">
        <v>2017</v>
      </c>
      <c r="M345" s="25"/>
      <c r="N345" s="28" t="e">
        <f>VLOOKUP(Table1[[#This Row],[ID TOKO]],Data_Aktual,4,FALSE)</f>
        <v>#N/A</v>
      </c>
      <c r="O345" s="29" t="s">
        <v>2498</v>
      </c>
      <c r="P345" s="1"/>
      <c r="R345" s="5"/>
      <c r="S345" s="5"/>
      <c r="T345" s="1"/>
    </row>
    <row r="346" spans="1:20" s="4" customFormat="1" ht="20.25" customHeight="1" x14ac:dyDescent="0.25">
      <c r="A346" s="1">
        <v>1</v>
      </c>
      <c r="B346" s="23">
        <v>340</v>
      </c>
      <c r="C346" s="24" t="s">
        <v>13</v>
      </c>
      <c r="D346" s="24" t="s">
        <v>2018</v>
      </c>
      <c r="E346" s="24" t="s">
        <v>2019</v>
      </c>
      <c r="F346" s="41" t="s">
        <v>2020</v>
      </c>
      <c r="G346" s="41" t="s">
        <v>2021</v>
      </c>
      <c r="H346" s="41" t="s">
        <v>2022</v>
      </c>
      <c r="I346" s="24" t="s">
        <v>19</v>
      </c>
      <c r="J346" s="24" t="s">
        <v>1982</v>
      </c>
      <c r="K346" s="41" t="s">
        <v>1982</v>
      </c>
      <c r="L346" s="41" t="s">
        <v>2023</v>
      </c>
      <c r="M346" s="25"/>
      <c r="N346" s="28" t="e">
        <f>VLOOKUP(Table1[[#This Row],[ID TOKO]],Data_Aktual,4,FALSE)</f>
        <v>#N/A</v>
      </c>
      <c r="O346" s="29" t="s">
        <v>2496</v>
      </c>
      <c r="P346" s="1"/>
      <c r="R346" s="5"/>
      <c r="S346" s="5"/>
      <c r="T346" s="1"/>
    </row>
    <row r="347" spans="1:20" s="4" customFormat="1" ht="20.25" customHeight="1" x14ac:dyDescent="0.3">
      <c r="A347" s="1">
        <v>1</v>
      </c>
      <c r="B347" s="23">
        <v>341</v>
      </c>
      <c r="C347" s="24" t="s">
        <v>13</v>
      </c>
      <c r="D347" s="24" t="s">
        <v>2024</v>
      </c>
      <c r="E347" s="24" t="s">
        <v>2025</v>
      </c>
      <c r="F347" s="41" t="s">
        <v>2026</v>
      </c>
      <c r="G347" s="41" t="s">
        <v>2027</v>
      </c>
      <c r="H347" s="41" t="s">
        <v>1989</v>
      </c>
      <c r="I347" s="24" t="s">
        <v>19</v>
      </c>
      <c r="J347" s="24" t="s">
        <v>1982</v>
      </c>
      <c r="K347" s="41" t="s">
        <v>1982</v>
      </c>
      <c r="L347" s="41" t="s">
        <v>2028</v>
      </c>
      <c r="M347" s="27" t="s">
        <v>2029</v>
      </c>
      <c r="N347" s="28" t="e">
        <f>VLOOKUP(Table1[[#This Row],[ID TOKO]],Data_Aktual,4,FALSE)</f>
        <v>#N/A</v>
      </c>
      <c r="O347" s="29" t="s">
        <v>2372</v>
      </c>
      <c r="P347" s="1"/>
      <c r="R347" s="5"/>
      <c r="S347" s="5"/>
      <c r="T347" s="1"/>
    </row>
    <row r="348" spans="1:20" s="4" customFormat="1" ht="20.25" customHeight="1" x14ac:dyDescent="0.3">
      <c r="A348" s="1">
        <v>1</v>
      </c>
      <c r="B348" s="23">
        <v>342</v>
      </c>
      <c r="C348" s="24" t="s">
        <v>13</v>
      </c>
      <c r="D348" s="24" t="s">
        <v>2030</v>
      </c>
      <c r="E348" s="24" t="s">
        <v>2031</v>
      </c>
      <c r="F348" s="41" t="s">
        <v>2032</v>
      </c>
      <c r="G348" s="41" t="s">
        <v>2033</v>
      </c>
      <c r="H348" s="41" t="s">
        <v>1989</v>
      </c>
      <c r="I348" s="24" t="s">
        <v>19</v>
      </c>
      <c r="J348" s="41" t="s">
        <v>1982</v>
      </c>
      <c r="K348" s="41" t="s">
        <v>1982</v>
      </c>
      <c r="L348" s="24" t="s">
        <v>2034</v>
      </c>
      <c r="M348" s="27" t="s">
        <v>2035</v>
      </c>
      <c r="N348" s="28" t="e">
        <f>VLOOKUP(Table1[[#This Row],[ID TOKO]],Data_Aktual,4,FALSE)</f>
        <v>#N/A</v>
      </c>
      <c r="O348" s="29" t="s">
        <v>2494</v>
      </c>
      <c r="P348" s="1"/>
      <c r="R348" s="5"/>
      <c r="S348" s="5"/>
      <c r="T348" s="1"/>
    </row>
    <row r="349" spans="1:20" s="4" customFormat="1" ht="20.25" customHeight="1" x14ac:dyDescent="0.25">
      <c r="A349" s="1">
        <v>1</v>
      </c>
      <c r="B349" s="23">
        <v>343</v>
      </c>
      <c r="C349" s="24" t="s">
        <v>13</v>
      </c>
      <c r="D349" s="24" t="s">
        <v>2036</v>
      </c>
      <c r="E349" s="24" t="s">
        <v>2037</v>
      </c>
      <c r="F349" s="41" t="s">
        <v>2038</v>
      </c>
      <c r="G349" s="41" t="s">
        <v>2039</v>
      </c>
      <c r="H349" s="41" t="s">
        <v>1989</v>
      </c>
      <c r="I349" s="24" t="s">
        <v>19</v>
      </c>
      <c r="J349" s="41" t="s">
        <v>1982</v>
      </c>
      <c r="K349" s="41" t="s">
        <v>1982</v>
      </c>
      <c r="L349" s="24" t="s">
        <v>2040</v>
      </c>
      <c r="M349" s="36"/>
      <c r="N349" s="28" t="e">
        <f>VLOOKUP(Table1[[#This Row],[ID TOKO]],Data_Aktual,4,FALSE)</f>
        <v>#N/A</v>
      </c>
      <c r="O349" s="29" t="s">
        <v>2493</v>
      </c>
      <c r="P349" s="1"/>
      <c r="R349" s="5"/>
      <c r="S349" s="5"/>
      <c r="T349" s="1"/>
    </row>
    <row r="350" spans="1:20" s="4" customFormat="1" ht="20.25" customHeight="1" x14ac:dyDescent="0.25">
      <c r="A350" s="1">
        <v>1</v>
      </c>
      <c r="B350" s="23">
        <v>344</v>
      </c>
      <c r="C350" s="24" t="s">
        <v>13</v>
      </c>
      <c r="D350" s="24" t="s">
        <v>2041</v>
      </c>
      <c r="E350" s="24" t="s">
        <v>2042</v>
      </c>
      <c r="F350" s="41" t="s">
        <v>2043</v>
      </c>
      <c r="G350" s="41" t="s">
        <v>2044</v>
      </c>
      <c r="H350" s="41" t="s">
        <v>1989</v>
      </c>
      <c r="I350" s="24" t="s">
        <v>19</v>
      </c>
      <c r="J350" s="24" t="s">
        <v>1982</v>
      </c>
      <c r="K350" s="41" t="s">
        <v>1982</v>
      </c>
      <c r="L350" s="42" t="s">
        <v>2045</v>
      </c>
      <c r="M350" s="36"/>
      <c r="N350" s="28" t="e">
        <f>VLOOKUP(Table1[[#This Row],[ID TOKO]],Data_Aktual,4,FALSE)</f>
        <v>#N/A</v>
      </c>
      <c r="O350" s="29" t="s">
        <v>2431</v>
      </c>
      <c r="P350" s="1"/>
      <c r="R350" s="5"/>
      <c r="S350" s="5"/>
      <c r="T350" s="1"/>
    </row>
    <row r="351" spans="1:20" s="4" customFormat="1" ht="20.25" customHeight="1" x14ac:dyDescent="0.3">
      <c r="A351" s="1">
        <v>1</v>
      </c>
      <c r="B351" s="23">
        <v>345</v>
      </c>
      <c r="C351" s="24" t="s">
        <v>13</v>
      </c>
      <c r="D351" s="24" t="s">
        <v>2046</v>
      </c>
      <c r="E351" s="24" t="s">
        <v>2047</v>
      </c>
      <c r="F351" s="24" t="s">
        <v>2048</v>
      </c>
      <c r="G351" s="25" t="s">
        <v>2049</v>
      </c>
      <c r="H351" s="24" t="s">
        <v>2050</v>
      </c>
      <c r="I351" s="24" t="s">
        <v>19</v>
      </c>
      <c r="J351" s="24" t="s">
        <v>2051</v>
      </c>
      <c r="K351" s="24" t="s">
        <v>2051</v>
      </c>
      <c r="L351" s="26" t="s">
        <v>2052</v>
      </c>
      <c r="M351" s="27" t="s">
        <v>2053</v>
      </c>
      <c r="N351" s="28" t="e">
        <f>VLOOKUP(Table1[[#This Row],[ID TOKO]],Data_Aktual,4,FALSE)</f>
        <v>#N/A</v>
      </c>
      <c r="O351" s="29" t="s">
        <v>2491</v>
      </c>
      <c r="P351" s="1"/>
      <c r="R351" s="5"/>
      <c r="S351" s="5"/>
      <c r="T351" s="1"/>
    </row>
    <row r="352" spans="1:20" s="4" customFormat="1" ht="20.25" customHeight="1" x14ac:dyDescent="0.3">
      <c r="A352" s="1">
        <v>1</v>
      </c>
      <c r="B352" s="23">
        <v>346</v>
      </c>
      <c r="C352" s="24" t="s">
        <v>13</v>
      </c>
      <c r="D352" s="24" t="s">
        <v>2054</v>
      </c>
      <c r="E352" s="24" t="s">
        <v>2055</v>
      </c>
      <c r="F352" s="24" t="s">
        <v>2056</v>
      </c>
      <c r="G352" s="25" t="s">
        <v>2057</v>
      </c>
      <c r="H352" s="24" t="s">
        <v>2050</v>
      </c>
      <c r="I352" s="24" t="s">
        <v>19</v>
      </c>
      <c r="J352" s="24" t="s">
        <v>2051</v>
      </c>
      <c r="K352" s="24" t="s">
        <v>2051</v>
      </c>
      <c r="L352" s="26" t="s">
        <v>2058</v>
      </c>
      <c r="M352" s="27" t="s">
        <v>2059</v>
      </c>
      <c r="N352" s="28" t="e">
        <f>VLOOKUP(Table1[[#This Row],[ID TOKO]],Data_Aktual,4,FALSE)</f>
        <v>#N/A</v>
      </c>
      <c r="O352" s="29" t="s">
        <v>2374</v>
      </c>
      <c r="P352" s="1"/>
      <c r="R352" s="5"/>
      <c r="S352" s="5"/>
      <c r="T352" s="1"/>
    </row>
    <row r="353" spans="1:20" s="4" customFormat="1" ht="20.25" customHeight="1" x14ac:dyDescent="0.3">
      <c r="A353" s="1">
        <v>1</v>
      </c>
      <c r="B353" s="23">
        <v>347</v>
      </c>
      <c r="C353" s="24" t="s">
        <v>13</v>
      </c>
      <c r="D353" s="24" t="s">
        <v>2060</v>
      </c>
      <c r="E353" s="24" t="s">
        <v>2061</v>
      </c>
      <c r="F353" s="24" t="s">
        <v>2062</v>
      </c>
      <c r="G353" s="25" t="s">
        <v>2063</v>
      </c>
      <c r="H353" s="24" t="s">
        <v>2050</v>
      </c>
      <c r="I353" s="24" t="s">
        <v>19</v>
      </c>
      <c r="J353" s="24" t="s">
        <v>2051</v>
      </c>
      <c r="K353" s="24" t="s">
        <v>2051</v>
      </c>
      <c r="L353" s="26" t="s">
        <v>2064</v>
      </c>
      <c r="M353" s="27" t="s">
        <v>2065</v>
      </c>
      <c r="N353" s="28" t="e">
        <f>VLOOKUP(Table1[[#This Row],[ID TOKO]],Data_Aktual,4,FALSE)</f>
        <v>#N/A</v>
      </c>
      <c r="O353" s="29" t="s">
        <v>2489</v>
      </c>
      <c r="P353" s="1"/>
      <c r="R353" s="5"/>
      <c r="S353" s="5"/>
      <c r="T353" s="1"/>
    </row>
    <row r="354" spans="1:20" ht="20.25" customHeight="1" x14ac:dyDescent="0.3">
      <c r="A354" s="1">
        <v>1</v>
      </c>
      <c r="B354" s="23">
        <v>348</v>
      </c>
      <c r="C354" s="24" t="s">
        <v>13</v>
      </c>
      <c r="D354" s="24" t="s">
        <v>2066</v>
      </c>
      <c r="E354" s="24" t="s">
        <v>2067</v>
      </c>
      <c r="F354" s="24" t="s">
        <v>2068</v>
      </c>
      <c r="G354" s="25" t="s">
        <v>2069</v>
      </c>
      <c r="H354" s="24" t="s">
        <v>2050</v>
      </c>
      <c r="I354" s="24" t="s">
        <v>19</v>
      </c>
      <c r="J354" s="24" t="s">
        <v>2051</v>
      </c>
      <c r="K354" s="24" t="s">
        <v>2051</v>
      </c>
      <c r="L354" s="26" t="s">
        <v>2070</v>
      </c>
      <c r="M354" s="27" t="s">
        <v>2071</v>
      </c>
      <c r="N354" s="28" t="e">
        <f>VLOOKUP(Table1[[#This Row],[ID TOKO]],Data_Aktual,4,FALSE)</f>
        <v>#N/A</v>
      </c>
      <c r="O354" s="29" t="s">
        <v>2487</v>
      </c>
      <c r="P354" s="1"/>
      <c r="T354" s="1"/>
    </row>
    <row r="355" spans="1:20" s="4" customFormat="1" ht="20.25" customHeight="1" x14ac:dyDescent="0.3">
      <c r="A355" s="1">
        <v>1</v>
      </c>
      <c r="B355" s="23">
        <v>349</v>
      </c>
      <c r="C355" s="24" t="s">
        <v>13</v>
      </c>
      <c r="D355" s="24" t="s">
        <v>2072</v>
      </c>
      <c r="E355" s="24" t="s">
        <v>2073</v>
      </c>
      <c r="F355" s="24" t="s">
        <v>2074</v>
      </c>
      <c r="G355" s="25" t="s">
        <v>2075</v>
      </c>
      <c r="H355" s="24" t="s">
        <v>2076</v>
      </c>
      <c r="I355" s="24" t="s">
        <v>19</v>
      </c>
      <c r="J355" s="24" t="s">
        <v>2051</v>
      </c>
      <c r="K355" s="24" t="s">
        <v>2051</v>
      </c>
      <c r="L355" s="26" t="s">
        <v>2077</v>
      </c>
      <c r="M355" s="27" t="s">
        <v>2078</v>
      </c>
      <c r="N355" s="28" t="e">
        <f>VLOOKUP(Table1[[#This Row],[ID TOKO]],Data_Aktual,4,FALSE)</f>
        <v>#N/A</v>
      </c>
      <c r="O355" s="29" t="s">
        <v>2485</v>
      </c>
      <c r="P355" s="1"/>
      <c r="R355" s="5"/>
      <c r="S355" s="5"/>
      <c r="T355" s="1"/>
    </row>
    <row r="356" spans="1:20" s="4" customFormat="1" ht="20.25" customHeight="1" x14ac:dyDescent="0.3">
      <c r="A356" s="1">
        <v>1</v>
      </c>
      <c r="B356" s="23">
        <v>350</v>
      </c>
      <c r="C356" s="24" t="s">
        <v>13</v>
      </c>
      <c r="D356" s="24" t="s">
        <v>2079</v>
      </c>
      <c r="E356" s="24" t="s">
        <v>2080</v>
      </c>
      <c r="F356" s="24" t="s">
        <v>2081</v>
      </c>
      <c r="G356" s="25" t="s">
        <v>2082</v>
      </c>
      <c r="H356" s="24" t="s">
        <v>2083</v>
      </c>
      <c r="I356" s="24" t="s">
        <v>19</v>
      </c>
      <c r="J356" s="24" t="s">
        <v>2051</v>
      </c>
      <c r="K356" s="24" t="s">
        <v>2051</v>
      </c>
      <c r="L356" s="26" t="s">
        <v>2084</v>
      </c>
      <c r="M356" s="27" t="s">
        <v>2085</v>
      </c>
      <c r="N356" s="28" t="e">
        <f>VLOOKUP(Table1[[#This Row],[ID TOKO]],Data_Aktual,4,FALSE)</f>
        <v>#N/A</v>
      </c>
      <c r="O356" s="29" t="s">
        <v>2483</v>
      </c>
      <c r="P356" s="1"/>
      <c r="R356" s="5"/>
      <c r="S356" s="5"/>
      <c r="T356" s="1"/>
    </row>
    <row r="357" spans="1:20" s="4" customFormat="1" ht="20.25" customHeight="1" x14ac:dyDescent="0.3">
      <c r="A357" s="1">
        <v>1</v>
      </c>
      <c r="B357" s="23">
        <v>351</v>
      </c>
      <c r="C357" s="24" t="s">
        <v>13</v>
      </c>
      <c r="D357" s="24" t="s">
        <v>2086</v>
      </c>
      <c r="E357" s="24" t="s">
        <v>2087</v>
      </c>
      <c r="F357" s="24" t="s">
        <v>2088</v>
      </c>
      <c r="G357" s="25" t="s">
        <v>2089</v>
      </c>
      <c r="H357" s="24" t="s">
        <v>2050</v>
      </c>
      <c r="I357" s="24" t="s">
        <v>19</v>
      </c>
      <c r="J357" s="24" t="s">
        <v>2051</v>
      </c>
      <c r="K357" s="24" t="s">
        <v>2051</v>
      </c>
      <c r="L357" s="26" t="s">
        <v>2090</v>
      </c>
      <c r="M357" s="27" t="s">
        <v>2091</v>
      </c>
      <c r="N357" s="28" t="e">
        <f>VLOOKUP(Table1[[#This Row],[ID TOKO]],Data_Aktual,4,FALSE)</f>
        <v>#N/A</v>
      </c>
      <c r="O357" s="29" t="s">
        <v>2481</v>
      </c>
      <c r="P357" s="1"/>
      <c r="R357" s="5"/>
      <c r="S357" s="5"/>
      <c r="T357" s="1"/>
    </row>
    <row r="358" spans="1:20" s="4" customFormat="1" ht="20.25" customHeight="1" x14ac:dyDescent="0.3">
      <c r="A358" s="1">
        <v>1</v>
      </c>
      <c r="B358" s="23">
        <v>352</v>
      </c>
      <c r="C358" s="24" t="s">
        <v>13</v>
      </c>
      <c r="D358" s="24" t="s">
        <v>2092</v>
      </c>
      <c r="E358" s="24" t="s">
        <v>2093</v>
      </c>
      <c r="F358" s="24" t="s">
        <v>2094</v>
      </c>
      <c r="G358" s="25" t="s">
        <v>2095</v>
      </c>
      <c r="H358" s="24" t="s">
        <v>2050</v>
      </c>
      <c r="I358" s="24" t="s">
        <v>19</v>
      </c>
      <c r="J358" s="24" t="s">
        <v>2051</v>
      </c>
      <c r="K358" s="24" t="s">
        <v>2051</v>
      </c>
      <c r="L358" s="26" t="s">
        <v>2096</v>
      </c>
      <c r="M358" s="27" t="s">
        <v>2097</v>
      </c>
      <c r="N358" s="28" t="e">
        <f>VLOOKUP(Table1[[#This Row],[ID TOKO]],Data_Aktual,4,FALSE)</f>
        <v>#N/A</v>
      </c>
      <c r="O358" s="29" t="s">
        <v>2479</v>
      </c>
      <c r="P358" s="1"/>
      <c r="R358" s="5"/>
      <c r="S358" s="5"/>
      <c r="T358" s="1"/>
    </row>
    <row r="359" spans="1:20" ht="20.25" customHeight="1" x14ac:dyDescent="0.3">
      <c r="A359" s="1">
        <v>1</v>
      </c>
      <c r="B359" s="23">
        <v>353</v>
      </c>
      <c r="C359" s="24" t="s">
        <v>13</v>
      </c>
      <c r="D359" s="24" t="s">
        <v>2098</v>
      </c>
      <c r="E359" s="24" t="s">
        <v>2099</v>
      </c>
      <c r="F359" s="24" t="s">
        <v>2100</v>
      </c>
      <c r="G359" s="25" t="s">
        <v>2101</v>
      </c>
      <c r="H359" s="24" t="s">
        <v>2050</v>
      </c>
      <c r="I359" s="24" t="s">
        <v>19</v>
      </c>
      <c r="J359" s="24" t="s">
        <v>2051</v>
      </c>
      <c r="K359" s="24" t="s">
        <v>2051</v>
      </c>
      <c r="L359" s="26" t="s">
        <v>2102</v>
      </c>
      <c r="M359" s="27" t="s">
        <v>2103</v>
      </c>
      <c r="N359" s="28" t="e">
        <f>VLOOKUP(Table1[[#This Row],[ID TOKO]],Data_Aktual,4,FALSE)</f>
        <v>#N/A</v>
      </c>
      <c r="O359" s="29" t="s">
        <v>2477</v>
      </c>
      <c r="P359" s="1"/>
      <c r="T359" s="1"/>
    </row>
    <row r="360" spans="1:20" s="4" customFormat="1" ht="20.25" customHeight="1" x14ac:dyDescent="0.3">
      <c r="A360" s="1">
        <v>1</v>
      </c>
      <c r="B360" s="23">
        <v>354</v>
      </c>
      <c r="C360" s="24" t="s">
        <v>13</v>
      </c>
      <c r="D360" s="24" t="s">
        <v>2104</v>
      </c>
      <c r="E360" s="24" t="s">
        <v>2105</v>
      </c>
      <c r="F360" s="24" t="s">
        <v>2106</v>
      </c>
      <c r="G360" s="25" t="s">
        <v>2107</v>
      </c>
      <c r="H360" s="24" t="s">
        <v>2050</v>
      </c>
      <c r="I360" s="24" t="s">
        <v>19</v>
      </c>
      <c r="J360" s="24" t="s">
        <v>2051</v>
      </c>
      <c r="K360" s="24" t="s">
        <v>2051</v>
      </c>
      <c r="L360" s="26" t="s">
        <v>2108</v>
      </c>
      <c r="M360" s="27" t="s">
        <v>2109</v>
      </c>
      <c r="N360" s="28" t="e">
        <f>VLOOKUP(Table1[[#This Row],[ID TOKO]],Data_Aktual,4,FALSE)</f>
        <v>#N/A</v>
      </c>
      <c r="O360" s="29" t="s">
        <v>2475</v>
      </c>
      <c r="P360" s="1"/>
      <c r="R360" s="5"/>
      <c r="S360" s="5"/>
      <c r="T360" s="1"/>
    </row>
    <row r="361" spans="1:20" ht="20.25" customHeight="1" x14ac:dyDescent="0.3">
      <c r="A361" s="1">
        <v>1</v>
      </c>
      <c r="B361" s="23">
        <v>355</v>
      </c>
      <c r="C361" s="24" t="s">
        <v>13</v>
      </c>
      <c r="D361" s="24" t="s">
        <v>2110</v>
      </c>
      <c r="E361" s="24" t="s">
        <v>2111</v>
      </c>
      <c r="F361" s="24" t="s">
        <v>2112</v>
      </c>
      <c r="G361" s="25" t="s">
        <v>2113</v>
      </c>
      <c r="H361" s="24" t="s">
        <v>2050</v>
      </c>
      <c r="I361" s="24" t="s">
        <v>19</v>
      </c>
      <c r="J361" s="24" t="s">
        <v>2051</v>
      </c>
      <c r="K361" s="24" t="s">
        <v>2051</v>
      </c>
      <c r="L361" s="26" t="s">
        <v>2114</v>
      </c>
      <c r="M361" s="27" t="s">
        <v>2115</v>
      </c>
      <c r="N361" s="28" t="e">
        <f>VLOOKUP(Table1[[#This Row],[ID TOKO]],Data_Aktual,4,FALSE)</f>
        <v>#N/A</v>
      </c>
      <c r="O361" s="29" t="s">
        <v>2473</v>
      </c>
      <c r="P361" s="1"/>
      <c r="T361" s="1"/>
    </row>
    <row r="362" spans="1:20" ht="20.25" customHeight="1" x14ac:dyDescent="0.25">
      <c r="A362" s="1">
        <v>1</v>
      </c>
      <c r="B362" s="23">
        <v>356</v>
      </c>
      <c r="C362" s="24" t="s">
        <v>13</v>
      </c>
      <c r="D362" s="24" t="s">
        <v>2116</v>
      </c>
      <c r="E362" s="24" t="s">
        <v>2117</v>
      </c>
      <c r="F362" s="24" t="s">
        <v>2118</v>
      </c>
      <c r="G362" s="25" t="s">
        <v>2119</v>
      </c>
      <c r="H362" s="24" t="s">
        <v>2120</v>
      </c>
      <c r="I362" s="24" t="s">
        <v>19</v>
      </c>
      <c r="J362" s="24" t="s">
        <v>2051</v>
      </c>
      <c r="K362" s="24" t="s">
        <v>2051</v>
      </c>
      <c r="L362" s="26" t="s">
        <v>2121</v>
      </c>
      <c r="M362" s="25"/>
      <c r="N362" s="28" t="e">
        <f>VLOOKUP(Table1[[#This Row],[ID TOKO]],Data_Aktual,4,FALSE)</f>
        <v>#N/A</v>
      </c>
      <c r="O362" s="29" t="s">
        <v>2471</v>
      </c>
      <c r="P362" s="1"/>
      <c r="T362" s="1"/>
    </row>
    <row r="363" spans="1:20" s="4" customFormat="1" ht="20.25" customHeight="1" x14ac:dyDescent="0.3">
      <c r="A363" s="1">
        <v>1</v>
      </c>
      <c r="B363" s="23">
        <v>357</v>
      </c>
      <c r="C363" s="24" t="s">
        <v>13</v>
      </c>
      <c r="D363" s="24" t="s">
        <v>2122</v>
      </c>
      <c r="E363" s="24" t="s">
        <v>2123</v>
      </c>
      <c r="F363" s="24" t="s">
        <v>1517</v>
      </c>
      <c r="G363" s="25" t="s">
        <v>2124</v>
      </c>
      <c r="H363" s="24" t="s">
        <v>2050</v>
      </c>
      <c r="I363" s="24" t="s">
        <v>19</v>
      </c>
      <c r="J363" s="24" t="s">
        <v>2051</v>
      </c>
      <c r="K363" s="24" t="s">
        <v>2051</v>
      </c>
      <c r="L363" s="26" t="s">
        <v>2125</v>
      </c>
      <c r="M363" s="27" t="s">
        <v>2126</v>
      </c>
      <c r="N363" s="28" t="e">
        <f>VLOOKUP(Table1[[#This Row],[ID TOKO]],Data_Aktual,4,FALSE)</f>
        <v>#N/A</v>
      </c>
      <c r="O363" s="29" t="s">
        <v>2469</v>
      </c>
      <c r="P363" s="1"/>
      <c r="R363" s="5"/>
      <c r="S363" s="5"/>
      <c r="T363" s="1"/>
    </row>
    <row r="364" spans="1:20" ht="20.25" customHeight="1" x14ac:dyDescent="0.3">
      <c r="A364" s="1">
        <v>1</v>
      </c>
      <c r="B364" s="23">
        <v>358</v>
      </c>
      <c r="C364" s="24" t="s">
        <v>13</v>
      </c>
      <c r="D364" s="24" t="s">
        <v>2127</v>
      </c>
      <c r="E364" s="24" t="s">
        <v>2128</v>
      </c>
      <c r="F364" s="24" t="s">
        <v>2129</v>
      </c>
      <c r="G364" s="25" t="s">
        <v>2130</v>
      </c>
      <c r="H364" s="24" t="s">
        <v>2131</v>
      </c>
      <c r="I364" s="24" t="s">
        <v>19</v>
      </c>
      <c r="J364" s="24" t="s">
        <v>2051</v>
      </c>
      <c r="K364" s="24" t="s">
        <v>2051</v>
      </c>
      <c r="L364" s="26" t="s">
        <v>2132</v>
      </c>
      <c r="M364" s="27" t="s">
        <v>2133</v>
      </c>
      <c r="N364" s="28" t="e">
        <f>VLOOKUP(Table1[[#This Row],[ID TOKO]],Data_Aktual,4,FALSE)</f>
        <v>#N/A</v>
      </c>
      <c r="O364" s="29" t="s">
        <v>2467</v>
      </c>
      <c r="P364" s="1"/>
      <c r="T364" s="1"/>
    </row>
    <row r="365" spans="1:20" ht="20.25" customHeight="1" x14ac:dyDescent="0.3">
      <c r="A365" s="1">
        <v>1</v>
      </c>
      <c r="B365" s="23">
        <v>359</v>
      </c>
      <c r="C365" s="24" t="s">
        <v>13</v>
      </c>
      <c r="D365" s="24" t="s">
        <v>2134</v>
      </c>
      <c r="E365" s="24" t="s">
        <v>2135</v>
      </c>
      <c r="F365" s="24" t="s">
        <v>2136</v>
      </c>
      <c r="G365" s="25" t="s">
        <v>2137</v>
      </c>
      <c r="H365" s="24" t="s">
        <v>2050</v>
      </c>
      <c r="I365" s="24" t="s">
        <v>19</v>
      </c>
      <c r="J365" s="24" t="s">
        <v>2051</v>
      </c>
      <c r="K365" s="24" t="s">
        <v>2051</v>
      </c>
      <c r="L365" s="26" t="s">
        <v>2138</v>
      </c>
      <c r="M365" s="27" t="s">
        <v>2139</v>
      </c>
      <c r="N365" s="28" t="e">
        <f>VLOOKUP(Table1[[#This Row],[ID TOKO]],Data_Aktual,4,FALSE)</f>
        <v>#N/A</v>
      </c>
      <c r="O365" s="29" t="s">
        <v>2465</v>
      </c>
      <c r="P365" s="1"/>
      <c r="T365" s="1"/>
    </row>
    <row r="366" spans="1:20" s="8" customFormat="1" ht="20.25" customHeight="1" x14ac:dyDescent="0.3">
      <c r="A366" s="1">
        <v>1</v>
      </c>
      <c r="B366" s="23">
        <v>360</v>
      </c>
      <c r="C366" s="24" t="s">
        <v>13</v>
      </c>
      <c r="D366" s="24" t="s">
        <v>2140</v>
      </c>
      <c r="E366" s="24" t="s">
        <v>2141</v>
      </c>
      <c r="F366" s="24" t="s">
        <v>2142</v>
      </c>
      <c r="G366" s="25" t="s">
        <v>2143</v>
      </c>
      <c r="H366" s="24" t="s">
        <v>2050</v>
      </c>
      <c r="I366" s="24" t="s">
        <v>19</v>
      </c>
      <c r="J366" s="24" t="s">
        <v>2051</v>
      </c>
      <c r="K366" s="24" t="s">
        <v>2051</v>
      </c>
      <c r="L366" s="26" t="s">
        <v>2144</v>
      </c>
      <c r="M366" s="27" t="s">
        <v>2145</v>
      </c>
      <c r="N366" s="28" t="e">
        <f>VLOOKUP(Table1[[#This Row],[ID TOKO]],Data_Aktual,4,FALSE)</f>
        <v>#N/A</v>
      </c>
      <c r="O366" s="29" t="s">
        <v>2463</v>
      </c>
      <c r="P366" s="1"/>
      <c r="R366" s="5"/>
      <c r="S366" s="5"/>
      <c r="T366" s="1"/>
    </row>
    <row r="367" spans="1:20" ht="20.25" customHeight="1" x14ac:dyDescent="0.3">
      <c r="A367" s="1">
        <v>1</v>
      </c>
      <c r="B367" s="23">
        <v>361</v>
      </c>
      <c r="C367" s="24" t="s">
        <v>13</v>
      </c>
      <c r="D367" s="24" t="s">
        <v>2146</v>
      </c>
      <c r="E367" s="24" t="s">
        <v>2147</v>
      </c>
      <c r="F367" s="24" t="s">
        <v>2148</v>
      </c>
      <c r="G367" s="25" t="s">
        <v>2149</v>
      </c>
      <c r="H367" s="24" t="s">
        <v>2050</v>
      </c>
      <c r="I367" s="24" t="s">
        <v>19</v>
      </c>
      <c r="J367" s="24" t="s">
        <v>2051</v>
      </c>
      <c r="K367" s="24" t="s">
        <v>2051</v>
      </c>
      <c r="L367" s="26" t="s">
        <v>2150</v>
      </c>
      <c r="M367" s="27" t="s">
        <v>2151</v>
      </c>
      <c r="N367" s="28" t="e">
        <f>VLOOKUP(Table1[[#This Row],[ID TOKO]],Data_Aktual,4,FALSE)</f>
        <v>#N/A</v>
      </c>
      <c r="O367" s="29" t="s">
        <v>2461</v>
      </c>
      <c r="P367" s="1"/>
      <c r="T367" s="1"/>
    </row>
    <row r="368" spans="1:20" ht="20.25" customHeight="1" x14ac:dyDescent="0.3">
      <c r="A368" s="1">
        <v>1</v>
      </c>
      <c r="B368" s="23">
        <v>362</v>
      </c>
      <c r="C368" s="24" t="s">
        <v>13</v>
      </c>
      <c r="D368" s="24" t="s">
        <v>2152</v>
      </c>
      <c r="E368" s="24" t="s">
        <v>2153</v>
      </c>
      <c r="F368" s="24" t="s">
        <v>2154</v>
      </c>
      <c r="G368" s="25" t="s">
        <v>2155</v>
      </c>
      <c r="H368" s="24" t="s">
        <v>2050</v>
      </c>
      <c r="I368" s="24" t="s">
        <v>19</v>
      </c>
      <c r="J368" s="24" t="s">
        <v>2051</v>
      </c>
      <c r="K368" s="24" t="s">
        <v>2051</v>
      </c>
      <c r="L368" s="26" t="s">
        <v>2156</v>
      </c>
      <c r="M368" s="27" t="s">
        <v>2157</v>
      </c>
      <c r="N368" s="28" t="e">
        <f>VLOOKUP(Table1[[#This Row],[ID TOKO]],Data_Aktual,4,FALSE)</f>
        <v>#N/A</v>
      </c>
      <c r="O368" s="29" t="s">
        <v>2459</v>
      </c>
      <c r="P368" s="1"/>
      <c r="T368" s="1"/>
    </row>
    <row r="369" spans="1:20" s="1" customFormat="1" ht="20.25" customHeight="1" x14ac:dyDescent="0.3">
      <c r="A369" s="1">
        <v>1</v>
      </c>
      <c r="B369" s="23">
        <v>363</v>
      </c>
      <c r="C369" s="24" t="s">
        <v>13</v>
      </c>
      <c r="D369" s="24" t="s">
        <v>2158</v>
      </c>
      <c r="E369" s="24" t="s">
        <v>2159</v>
      </c>
      <c r="F369" s="24" t="s">
        <v>2160</v>
      </c>
      <c r="G369" s="25" t="s">
        <v>2161</v>
      </c>
      <c r="H369" s="24" t="s">
        <v>2050</v>
      </c>
      <c r="I369" s="24" t="s">
        <v>19</v>
      </c>
      <c r="J369" s="24" t="s">
        <v>2051</v>
      </c>
      <c r="K369" s="24" t="s">
        <v>2051</v>
      </c>
      <c r="L369" s="26" t="s">
        <v>2162</v>
      </c>
      <c r="M369" s="27" t="s">
        <v>2163</v>
      </c>
      <c r="N369" s="28" t="e">
        <f>VLOOKUP(Table1[[#This Row],[ID TOKO]],Data_Aktual,4,FALSE)</f>
        <v>#N/A</v>
      </c>
      <c r="O369" s="29" t="s">
        <v>2457</v>
      </c>
      <c r="R369" s="5"/>
      <c r="S369" s="5"/>
    </row>
    <row r="370" spans="1:20" s="1" customFormat="1" ht="20.25" customHeight="1" x14ac:dyDescent="0.25">
      <c r="A370" s="1">
        <v>1</v>
      </c>
      <c r="B370" s="23">
        <v>364</v>
      </c>
      <c r="C370" s="24" t="s">
        <v>13</v>
      </c>
      <c r="D370" s="24" t="s">
        <v>2164</v>
      </c>
      <c r="E370" s="24" t="s">
        <v>2165</v>
      </c>
      <c r="F370" s="24" t="s">
        <v>2166</v>
      </c>
      <c r="G370" s="25" t="s">
        <v>2167</v>
      </c>
      <c r="H370" s="24" t="s">
        <v>2050</v>
      </c>
      <c r="I370" s="24" t="s">
        <v>19</v>
      </c>
      <c r="J370" s="24" t="s">
        <v>2051</v>
      </c>
      <c r="K370" s="24" t="s">
        <v>2051</v>
      </c>
      <c r="L370" s="26"/>
      <c r="M370" s="36"/>
      <c r="N370" s="28" t="e">
        <f>VLOOKUP(Table1[[#This Row],[ID TOKO]],Data_Aktual,4,FALSE)</f>
        <v>#N/A</v>
      </c>
      <c r="O370" s="32" t="s">
        <v>2383</v>
      </c>
      <c r="R370" s="5"/>
      <c r="S370" s="5"/>
    </row>
    <row r="371" spans="1:20" s="4" customFormat="1" ht="20.25" customHeight="1" x14ac:dyDescent="0.25">
      <c r="A371" s="1">
        <v>1</v>
      </c>
      <c r="B371" s="23">
        <v>365</v>
      </c>
      <c r="C371" s="24" t="s">
        <v>13</v>
      </c>
      <c r="D371" s="24" t="s">
        <v>2168</v>
      </c>
      <c r="E371" s="24" t="s">
        <v>2169</v>
      </c>
      <c r="F371" s="24" t="s">
        <v>2170</v>
      </c>
      <c r="G371" s="33" t="s">
        <v>2171</v>
      </c>
      <c r="H371" s="24" t="s">
        <v>2172</v>
      </c>
      <c r="I371" s="24" t="s">
        <v>19</v>
      </c>
      <c r="J371" s="24" t="s">
        <v>2051</v>
      </c>
      <c r="K371" s="24" t="s">
        <v>1857</v>
      </c>
      <c r="L371" s="26"/>
      <c r="M371" s="25"/>
      <c r="N371" s="28" t="e">
        <f>VLOOKUP(Table1[[#This Row],[ID TOKO]],Data_Aktual,4,FALSE)</f>
        <v>#N/A</v>
      </c>
      <c r="O371" s="32" t="s">
        <v>2419</v>
      </c>
      <c r="P371" s="1"/>
      <c r="R371" s="5"/>
      <c r="S371" s="5"/>
      <c r="T371" s="1"/>
    </row>
    <row r="372" spans="1:20" s="4" customFormat="1" ht="20.25" customHeight="1" x14ac:dyDescent="0.25">
      <c r="A372" s="1">
        <v>1</v>
      </c>
      <c r="B372" s="23">
        <v>366</v>
      </c>
      <c r="C372" s="24" t="s">
        <v>13</v>
      </c>
      <c r="D372" s="24" t="s">
        <v>2173</v>
      </c>
      <c r="E372" s="24"/>
      <c r="F372" s="24" t="s">
        <v>2174</v>
      </c>
      <c r="G372" s="25" t="s">
        <v>2175</v>
      </c>
      <c r="H372" s="24" t="s">
        <v>2050</v>
      </c>
      <c r="I372" s="24" t="s">
        <v>19</v>
      </c>
      <c r="J372" s="24" t="s">
        <v>2051</v>
      </c>
      <c r="K372" s="24" t="s">
        <v>2051</v>
      </c>
      <c r="L372" s="26"/>
      <c r="M372" s="30"/>
      <c r="N372" s="28" t="e">
        <f>VLOOKUP(Table1[[#This Row],[ID TOKO]],Data_Aktual,4,FALSE)</f>
        <v>#N/A</v>
      </c>
      <c r="O372" s="32" t="s">
        <v>2351</v>
      </c>
      <c r="P372" s="1"/>
      <c r="R372" s="5"/>
      <c r="S372" s="5"/>
      <c r="T372" s="1"/>
    </row>
    <row r="373" spans="1:20" s="1" customFormat="1" ht="20.25" customHeight="1" x14ac:dyDescent="0.3">
      <c r="A373" s="1">
        <v>1</v>
      </c>
      <c r="B373" s="23">
        <v>367</v>
      </c>
      <c r="C373" s="24" t="s">
        <v>2176</v>
      </c>
      <c r="D373" s="24" t="s">
        <v>2177</v>
      </c>
      <c r="E373" s="24" t="s">
        <v>2178</v>
      </c>
      <c r="F373" s="25" t="s">
        <v>65</v>
      </c>
      <c r="G373" s="25" t="s">
        <v>2179</v>
      </c>
      <c r="H373" s="25" t="s">
        <v>58</v>
      </c>
      <c r="I373" s="24" t="s">
        <v>19</v>
      </c>
      <c r="J373" s="25" t="s">
        <v>59</v>
      </c>
      <c r="K373" s="25" t="s">
        <v>60</v>
      </c>
      <c r="L373" s="25" t="s">
        <v>2180</v>
      </c>
      <c r="M373" s="27" t="s">
        <v>68</v>
      </c>
      <c r="N373" s="28" t="e">
        <f>VLOOKUP(Table1[[#This Row],[ID TOKO]],Data_Aktual,4,FALSE)</f>
        <v>#N/A</v>
      </c>
      <c r="O373" s="29" t="s">
        <v>2453</v>
      </c>
      <c r="R373" s="5"/>
      <c r="S373" s="5"/>
    </row>
    <row r="374" spans="1:20" s="1" customFormat="1" ht="20.25" customHeight="1" x14ac:dyDescent="0.25">
      <c r="A374" s="1">
        <v>1</v>
      </c>
      <c r="B374" s="23">
        <v>368</v>
      </c>
      <c r="C374" s="24" t="s">
        <v>2176</v>
      </c>
      <c r="D374" s="24" t="s">
        <v>2181</v>
      </c>
      <c r="E374" s="24" t="s">
        <v>2182</v>
      </c>
      <c r="F374" s="25" t="s">
        <v>129</v>
      </c>
      <c r="G374" s="25" t="s">
        <v>2183</v>
      </c>
      <c r="H374" s="24" t="s">
        <v>109</v>
      </c>
      <c r="I374" s="24" t="s">
        <v>90</v>
      </c>
      <c r="J374" s="24" t="s">
        <v>91</v>
      </c>
      <c r="K374" s="24" t="s">
        <v>91</v>
      </c>
      <c r="L374" s="26" t="s">
        <v>2184</v>
      </c>
      <c r="M374" s="25"/>
      <c r="N374" s="28" t="e">
        <f>VLOOKUP(Table1[[#This Row],[ID TOKO]],Data_Aktual,4,FALSE)</f>
        <v>#N/A</v>
      </c>
      <c r="O374" s="29" t="s">
        <v>2451</v>
      </c>
      <c r="R374" s="5"/>
      <c r="S374" s="5"/>
    </row>
    <row r="375" spans="1:20" s="1" customFormat="1" ht="20.25" customHeight="1" x14ac:dyDescent="0.25">
      <c r="A375" s="1">
        <v>1</v>
      </c>
      <c r="B375" s="23">
        <v>369</v>
      </c>
      <c r="C375" s="24" t="s">
        <v>2176</v>
      </c>
      <c r="D375" s="24" t="s">
        <v>2185</v>
      </c>
      <c r="E375" s="24" t="s">
        <v>2186</v>
      </c>
      <c r="F375" s="24" t="s">
        <v>129</v>
      </c>
      <c r="G375" s="25" t="s">
        <v>2187</v>
      </c>
      <c r="H375" s="24" t="s">
        <v>2188</v>
      </c>
      <c r="I375" s="24" t="s">
        <v>90</v>
      </c>
      <c r="J375" s="24" t="s">
        <v>91</v>
      </c>
      <c r="K375" s="24" t="s">
        <v>91</v>
      </c>
      <c r="L375" s="26" t="s">
        <v>2189</v>
      </c>
      <c r="M375" s="25"/>
      <c r="N375" s="28" t="e">
        <f>VLOOKUP(Table1[[#This Row],[ID TOKO]],Data_Aktual,4,FALSE)</f>
        <v>#N/A</v>
      </c>
      <c r="O375" s="29" t="s">
        <v>2449</v>
      </c>
      <c r="R375" s="5"/>
      <c r="S375" s="5"/>
    </row>
    <row r="376" spans="1:20" ht="20.25" customHeight="1" x14ac:dyDescent="0.3">
      <c r="A376" s="1">
        <v>1</v>
      </c>
      <c r="B376" s="23">
        <v>370</v>
      </c>
      <c r="C376" s="24" t="s">
        <v>2176</v>
      </c>
      <c r="D376" s="24" t="s">
        <v>2190</v>
      </c>
      <c r="E376" s="24" t="s">
        <v>2191</v>
      </c>
      <c r="F376" s="24" t="s">
        <v>2192</v>
      </c>
      <c r="G376" s="25" t="s">
        <v>2193</v>
      </c>
      <c r="H376" s="24" t="s">
        <v>289</v>
      </c>
      <c r="I376" s="24" t="s">
        <v>290</v>
      </c>
      <c r="J376" s="24" t="s">
        <v>291</v>
      </c>
      <c r="K376" s="24" t="s">
        <v>291</v>
      </c>
      <c r="L376" s="26" t="s">
        <v>2194</v>
      </c>
      <c r="M376" s="27" t="s">
        <v>2195</v>
      </c>
      <c r="N376" s="28" t="e">
        <f>VLOOKUP(Table1[[#This Row],[ID TOKO]],Data_Aktual,4,FALSE)</f>
        <v>#N/A</v>
      </c>
      <c r="O376" s="29" t="s">
        <v>2435</v>
      </c>
      <c r="P376" s="1"/>
      <c r="T376" s="1"/>
    </row>
    <row r="377" spans="1:20" s="1" customFormat="1" ht="20.25" customHeight="1" x14ac:dyDescent="0.3">
      <c r="A377" s="1">
        <v>1</v>
      </c>
      <c r="B377" s="23">
        <v>371</v>
      </c>
      <c r="C377" s="24" t="s">
        <v>2176</v>
      </c>
      <c r="D377" s="24" t="s">
        <v>2196</v>
      </c>
      <c r="E377" s="24" t="s">
        <v>2197</v>
      </c>
      <c r="F377" s="24" t="s">
        <v>2198</v>
      </c>
      <c r="G377" s="37" t="s">
        <v>2199</v>
      </c>
      <c r="H377" s="24" t="s">
        <v>2200</v>
      </c>
      <c r="I377" s="24" t="s">
        <v>515</v>
      </c>
      <c r="J377" s="24" t="s">
        <v>612</v>
      </c>
      <c r="K377" s="24" t="s">
        <v>517</v>
      </c>
      <c r="L377" s="26" t="s">
        <v>2201</v>
      </c>
      <c r="M377" s="27" t="s">
        <v>2202</v>
      </c>
      <c r="N377" s="28" t="e">
        <f>VLOOKUP(Table1[[#This Row],[ID TOKO]],Data_Aktual,4,FALSE)</f>
        <v>#N/A</v>
      </c>
      <c r="O377" s="29" t="s">
        <v>2447</v>
      </c>
      <c r="R377" s="5"/>
      <c r="S377" s="5"/>
    </row>
    <row r="378" spans="1:20" ht="20.25" customHeight="1" x14ac:dyDescent="0.3">
      <c r="A378" s="1">
        <v>1</v>
      </c>
      <c r="B378" s="23">
        <v>372</v>
      </c>
      <c r="C378" s="24" t="s">
        <v>2176</v>
      </c>
      <c r="D378" s="24" t="s">
        <v>2203</v>
      </c>
      <c r="E378" s="24" t="s">
        <v>2204</v>
      </c>
      <c r="F378" s="24" t="s">
        <v>2198</v>
      </c>
      <c r="G378" s="37" t="s">
        <v>2205</v>
      </c>
      <c r="H378" s="24" t="s">
        <v>514</v>
      </c>
      <c r="I378" s="24" t="s">
        <v>515</v>
      </c>
      <c r="J378" s="24" t="s">
        <v>516</v>
      </c>
      <c r="K378" s="24" t="s">
        <v>517</v>
      </c>
      <c r="L378" s="26" t="s">
        <v>2206</v>
      </c>
      <c r="M378" s="27" t="s">
        <v>2207</v>
      </c>
      <c r="N378" s="28" t="e">
        <f>VLOOKUP(Table1[[#This Row],[ID TOKO]],Data_Aktual,4,FALSE)</f>
        <v>#N/A</v>
      </c>
      <c r="O378" s="29" t="s">
        <v>2445</v>
      </c>
      <c r="P378" s="1"/>
      <c r="T378" s="1"/>
    </row>
    <row r="379" spans="1:20" ht="20.25" customHeight="1" x14ac:dyDescent="0.25">
      <c r="A379" s="1">
        <v>1</v>
      </c>
      <c r="B379" s="23">
        <v>373</v>
      </c>
      <c r="C379" s="24" t="s">
        <v>2176</v>
      </c>
      <c r="D379" s="24" t="s">
        <v>2208</v>
      </c>
      <c r="E379" s="24" t="s">
        <v>2209</v>
      </c>
      <c r="F379" s="25" t="s">
        <v>1244</v>
      </c>
      <c r="G379" s="25" t="s">
        <v>2210</v>
      </c>
      <c r="H379" s="25" t="s">
        <v>1214</v>
      </c>
      <c r="I379" s="25" t="s">
        <v>1215</v>
      </c>
      <c r="J379" s="25" t="s">
        <v>1216</v>
      </c>
      <c r="K379" s="25" t="s">
        <v>1216</v>
      </c>
      <c r="L379" s="25" t="s">
        <v>2211</v>
      </c>
      <c r="M379" s="25"/>
      <c r="N379" s="28" t="e">
        <f>VLOOKUP(Table1[[#This Row],[ID TOKO]],Data_Aktual,4,FALSE)</f>
        <v>#N/A</v>
      </c>
      <c r="O379" s="29" t="s">
        <v>2443</v>
      </c>
      <c r="P379" s="1"/>
      <c r="T379" s="1"/>
    </row>
    <row r="380" spans="1:20" ht="20.25" customHeight="1" x14ac:dyDescent="0.3">
      <c r="A380" s="1">
        <v>1</v>
      </c>
      <c r="B380" s="23">
        <v>374</v>
      </c>
      <c r="C380" s="24" t="s">
        <v>2176</v>
      </c>
      <c r="D380" s="24" t="s">
        <v>2212</v>
      </c>
      <c r="E380" s="24" t="s">
        <v>2213</v>
      </c>
      <c r="F380" s="25" t="s">
        <v>2214</v>
      </c>
      <c r="G380" s="25" t="s">
        <v>2215</v>
      </c>
      <c r="H380" s="25" t="s">
        <v>1474</v>
      </c>
      <c r="I380" s="25" t="s">
        <v>1475</v>
      </c>
      <c r="J380" s="25" t="s">
        <v>1476</v>
      </c>
      <c r="K380" s="25" t="s">
        <v>1476</v>
      </c>
      <c r="L380" s="25" t="s">
        <v>2216</v>
      </c>
      <c r="M380" s="27" t="s">
        <v>2217</v>
      </c>
      <c r="N380" s="28" t="e">
        <f>VLOOKUP(Table1[[#This Row],[ID TOKO]],Data_Aktual,4,FALSE)</f>
        <v>#N/A</v>
      </c>
      <c r="O380" s="29" t="s">
        <v>2441</v>
      </c>
      <c r="P380" s="1"/>
      <c r="T380" s="1"/>
    </row>
    <row r="381" spans="1:20" ht="20.25" customHeight="1" x14ac:dyDescent="0.3">
      <c r="A381" s="1">
        <v>1</v>
      </c>
      <c r="B381" s="23">
        <v>375</v>
      </c>
      <c r="C381" s="24" t="s">
        <v>2176</v>
      </c>
      <c r="D381" s="24" t="s">
        <v>2218</v>
      </c>
      <c r="E381" s="24" t="s">
        <v>2219</v>
      </c>
      <c r="F381" s="24" t="s">
        <v>2220</v>
      </c>
      <c r="G381" s="25" t="s">
        <v>2221</v>
      </c>
      <c r="H381" s="24" t="s">
        <v>1752</v>
      </c>
      <c r="I381" s="24" t="s">
        <v>1739</v>
      </c>
      <c r="J381" s="24" t="s">
        <v>1740</v>
      </c>
      <c r="K381" s="24" t="s">
        <v>1740</v>
      </c>
      <c r="L381" s="26" t="s">
        <v>2222</v>
      </c>
      <c r="M381" s="27" t="s">
        <v>2223</v>
      </c>
      <c r="N381" s="28" t="e">
        <f>VLOOKUP(Table1[[#This Row],[ID TOKO]],Data_Aktual,4,FALSE)</f>
        <v>#N/A</v>
      </c>
      <c r="O381" s="29" t="s">
        <v>2439</v>
      </c>
      <c r="P381" s="1"/>
      <c r="T381" s="1"/>
    </row>
    <row r="382" spans="1:20" ht="20.25" customHeight="1" x14ac:dyDescent="0.3">
      <c r="A382" s="1">
        <v>1</v>
      </c>
      <c r="B382" s="46">
        <v>376</v>
      </c>
      <c r="C382" s="47" t="s">
        <v>2176</v>
      </c>
      <c r="D382" s="47" t="s">
        <v>2224</v>
      </c>
      <c r="E382" s="47" t="s">
        <v>2225</v>
      </c>
      <c r="F382" s="47" t="s">
        <v>1987</v>
      </c>
      <c r="G382" s="48" t="s">
        <v>2226</v>
      </c>
      <c r="H382" s="47" t="s">
        <v>1989</v>
      </c>
      <c r="I382" s="47" t="s">
        <v>19</v>
      </c>
      <c r="J382" s="47" t="s">
        <v>1982</v>
      </c>
      <c r="K382" s="47" t="s">
        <v>1982</v>
      </c>
      <c r="L382" s="49"/>
      <c r="M382" s="50" t="s">
        <v>2227</v>
      </c>
      <c r="N382" s="51" t="e">
        <f>VLOOKUP(Table1[[#This Row],[ID TOKO]],Data_Aktual,4,FALSE)</f>
        <v>#N/A</v>
      </c>
      <c r="O382" s="52" t="s">
        <v>2437</v>
      </c>
      <c r="P382" s="1"/>
      <c r="T382" s="1"/>
    </row>
    <row r="383" spans="1:20" x14ac:dyDescent="0.25">
      <c r="B383" s="15"/>
      <c r="C383" s="15"/>
      <c r="D383" s="15"/>
      <c r="E383" s="15"/>
      <c r="F383" s="15"/>
      <c r="H383" s="15"/>
      <c r="I383" s="15"/>
      <c r="J383" s="15"/>
      <c r="K383" s="15"/>
      <c r="M383" s="5"/>
    </row>
    <row r="384" spans="1:20" x14ac:dyDescent="0.2">
      <c r="B384" s="15">
        <f>B382+21+6</f>
        <v>403</v>
      </c>
    </row>
  </sheetData>
  <autoFilter ref="O6:O382"/>
  <hyperlinks>
    <hyperlink ref="O372" r:id="rId1"/>
    <hyperlink ref="O371" r:id="rId2"/>
    <hyperlink ref="O370" r:id="rId3"/>
    <hyperlink ref="O292" r:id="rId4"/>
    <hyperlink ref="O39" r:id="rId5"/>
    <hyperlink ref="O154" r:id="rId6"/>
    <hyperlink ref="O155" r:id="rId7"/>
    <hyperlink ref="O38" r:id="rId8"/>
    <hyperlink ref="O281" r:id="rId9"/>
  </hyperlinks>
  <printOptions horizontalCentered="1"/>
  <pageMargins left="3.9370078740157501E-2" right="3.9370078740157501E-2" top="0.196850393700787" bottom="0.15748031496063" header="0.196850393700787" footer="0.15748031496063"/>
  <pageSetup paperSize="9" scale="10" fitToHeight="0" orientation="landscape" r:id="rId10"/>
  <headerFooter alignWithMargins="0"/>
  <legacyDrawing r:id="rId11"/>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5"/>
  <sheetViews>
    <sheetView workbookViewId="0">
      <selection activeCell="D4" sqref="D4"/>
    </sheetView>
  </sheetViews>
  <sheetFormatPr defaultRowHeight="16.5" x14ac:dyDescent="0.3"/>
  <cols>
    <col min="1" max="1" width="9.140625" style="53"/>
    <col min="2" max="2" width="5.85546875" style="53" customWidth="1"/>
    <col min="3" max="3" width="7.42578125" style="53" customWidth="1"/>
    <col min="4" max="4" width="19.28515625" style="53" bestFit="1" customWidth="1"/>
    <col min="5" max="5" width="31.85546875" style="53" bestFit="1" customWidth="1"/>
    <col min="6" max="6" width="76.42578125" style="53" bestFit="1" customWidth="1"/>
    <col min="7" max="7" width="20.5703125" style="53" bestFit="1" customWidth="1"/>
    <col min="8" max="8" width="19.85546875" style="53" bestFit="1" customWidth="1"/>
    <col min="9" max="9" width="15.5703125" style="53" bestFit="1" customWidth="1"/>
    <col min="10" max="10" width="21.5703125" style="53" bestFit="1" customWidth="1"/>
    <col min="11" max="11" width="25.28515625" style="53" bestFit="1" customWidth="1"/>
    <col min="12" max="12" width="102.28515625" style="53" bestFit="1" customWidth="1"/>
    <col min="13" max="16384" width="9.140625" style="53"/>
  </cols>
  <sheetData>
    <row r="3" spans="2:12" ht="31.5" x14ac:dyDescent="0.3">
      <c r="B3" s="54" t="s">
        <v>1</v>
      </c>
      <c r="C3" s="54" t="s">
        <v>2</v>
      </c>
      <c r="D3" s="54" t="s">
        <v>3292</v>
      </c>
      <c r="E3" s="54" t="s">
        <v>4</v>
      </c>
      <c r="F3" s="54" t="s">
        <v>5</v>
      </c>
      <c r="G3" s="54" t="s">
        <v>2230</v>
      </c>
      <c r="H3" s="54" t="s">
        <v>8</v>
      </c>
      <c r="I3" s="54" t="s">
        <v>2231</v>
      </c>
      <c r="J3" s="54" t="s">
        <v>10</v>
      </c>
      <c r="K3" s="54" t="s">
        <v>11</v>
      </c>
      <c r="L3" s="55" t="s">
        <v>3135</v>
      </c>
    </row>
    <row r="4" spans="2:12" x14ac:dyDescent="0.3">
      <c r="B4" s="56">
        <v>1</v>
      </c>
      <c r="C4" s="56" t="s">
        <v>2232</v>
      </c>
      <c r="D4" s="56" t="s">
        <v>2233</v>
      </c>
      <c r="E4" s="57" t="s">
        <v>2234</v>
      </c>
      <c r="F4" s="57" t="s">
        <v>2235</v>
      </c>
      <c r="G4" s="57" t="s">
        <v>18</v>
      </c>
      <c r="H4" s="57" t="s">
        <v>20</v>
      </c>
      <c r="I4" s="57" t="s">
        <v>20</v>
      </c>
      <c r="J4" s="57" t="s">
        <v>2236</v>
      </c>
      <c r="K4" s="58" t="s">
        <v>2237</v>
      </c>
      <c r="L4" s="59" t="s">
        <v>3102</v>
      </c>
    </row>
    <row r="5" spans="2:12" x14ac:dyDescent="0.3">
      <c r="B5" s="56">
        <v>2</v>
      </c>
      <c r="C5" s="56" t="s">
        <v>2232</v>
      </c>
      <c r="D5" s="56" t="s">
        <v>2238</v>
      </c>
      <c r="E5" s="58" t="s">
        <v>2239</v>
      </c>
      <c r="F5" s="58" t="s">
        <v>2240</v>
      </c>
      <c r="G5" s="58" t="s">
        <v>2241</v>
      </c>
      <c r="H5" s="58" t="s">
        <v>20</v>
      </c>
      <c r="I5" s="57" t="s">
        <v>20</v>
      </c>
      <c r="J5" s="58" t="s">
        <v>2242</v>
      </c>
      <c r="K5" s="58" t="s">
        <v>2243</v>
      </c>
      <c r="L5" s="60" t="s">
        <v>3103</v>
      </c>
    </row>
    <row r="6" spans="2:12" x14ac:dyDescent="0.3">
      <c r="B6" s="56">
        <v>3</v>
      </c>
      <c r="C6" s="56" t="s">
        <v>2232</v>
      </c>
      <c r="D6" s="56" t="s">
        <v>2244</v>
      </c>
      <c r="E6" s="58" t="s">
        <v>2245</v>
      </c>
      <c r="F6" s="58" t="s">
        <v>2246</v>
      </c>
      <c r="G6" s="58" t="s">
        <v>2228</v>
      </c>
      <c r="H6" s="58" t="s">
        <v>59</v>
      </c>
      <c r="I6" s="58" t="s">
        <v>60</v>
      </c>
      <c r="J6" s="58" t="s">
        <v>2247</v>
      </c>
      <c r="K6" s="58" t="s">
        <v>2248</v>
      </c>
      <c r="L6" s="60" t="s">
        <v>3104</v>
      </c>
    </row>
    <row r="7" spans="2:12" x14ac:dyDescent="0.3">
      <c r="B7" s="56">
        <v>4</v>
      </c>
      <c r="C7" s="56" t="s">
        <v>2232</v>
      </c>
      <c r="D7" s="56" t="s">
        <v>2249</v>
      </c>
      <c r="E7" s="57" t="s">
        <v>1329</v>
      </c>
      <c r="F7" s="61" t="s">
        <v>2250</v>
      </c>
      <c r="G7" s="58" t="s">
        <v>235</v>
      </c>
      <c r="H7" s="58" t="s">
        <v>236</v>
      </c>
      <c r="I7" s="58" t="s">
        <v>235</v>
      </c>
      <c r="J7" s="58" t="s">
        <v>2251</v>
      </c>
      <c r="K7" s="58" t="s">
        <v>2252</v>
      </c>
      <c r="L7" s="60" t="s">
        <v>3105</v>
      </c>
    </row>
    <row r="8" spans="2:12" x14ac:dyDescent="0.3">
      <c r="B8" s="56">
        <v>5</v>
      </c>
      <c r="C8" s="56" t="s">
        <v>2232</v>
      </c>
      <c r="D8" s="56" t="s">
        <v>2253</v>
      </c>
      <c r="E8" s="57" t="s">
        <v>2254</v>
      </c>
      <c r="F8" s="58" t="s">
        <v>2255</v>
      </c>
      <c r="G8" s="58" t="s">
        <v>2256</v>
      </c>
      <c r="H8" s="58" t="s">
        <v>261</v>
      </c>
      <c r="I8" s="58" t="s">
        <v>261</v>
      </c>
      <c r="J8" s="58" t="s">
        <v>2257</v>
      </c>
      <c r="K8" s="58" t="s">
        <v>2258</v>
      </c>
      <c r="L8" s="62" t="s">
        <v>3130</v>
      </c>
    </row>
    <row r="9" spans="2:12" x14ac:dyDescent="0.3">
      <c r="B9" s="56">
        <v>6</v>
      </c>
      <c r="C9" s="56" t="s">
        <v>2232</v>
      </c>
      <c r="D9" s="56" t="s">
        <v>2259</v>
      </c>
      <c r="E9" s="57" t="s">
        <v>2260</v>
      </c>
      <c r="F9" s="58" t="s">
        <v>2261</v>
      </c>
      <c r="G9" s="58" t="s">
        <v>525</v>
      </c>
      <c r="H9" s="58" t="s">
        <v>291</v>
      </c>
      <c r="I9" s="58" t="s">
        <v>517</v>
      </c>
      <c r="J9" s="58" t="s">
        <v>2262</v>
      </c>
      <c r="K9" s="58" t="s">
        <v>2263</v>
      </c>
      <c r="L9" s="60" t="s">
        <v>3106</v>
      </c>
    </row>
    <row r="10" spans="2:12" x14ac:dyDescent="0.3">
      <c r="B10" s="56">
        <v>7</v>
      </c>
      <c r="C10" s="56" t="s">
        <v>2232</v>
      </c>
      <c r="D10" s="56" t="s">
        <v>2264</v>
      </c>
      <c r="E10" s="58" t="s">
        <v>2265</v>
      </c>
      <c r="F10" s="58" t="s">
        <v>2266</v>
      </c>
      <c r="G10" s="58" t="s">
        <v>2267</v>
      </c>
      <c r="H10" s="58" t="s">
        <v>516</v>
      </c>
      <c r="I10" s="58" t="s">
        <v>517</v>
      </c>
      <c r="J10" s="58" t="s">
        <v>2268</v>
      </c>
      <c r="K10" s="58" t="s">
        <v>2269</v>
      </c>
      <c r="L10" s="63" t="s">
        <v>3107</v>
      </c>
    </row>
    <row r="11" spans="2:12" x14ac:dyDescent="0.3">
      <c r="B11" s="56">
        <v>8</v>
      </c>
      <c r="C11" s="56" t="s">
        <v>2232</v>
      </c>
      <c r="D11" s="56" t="s">
        <v>2270</v>
      </c>
      <c r="E11" s="57" t="s">
        <v>2271</v>
      </c>
      <c r="F11" s="58" t="s">
        <v>2272</v>
      </c>
      <c r="G11" s="58" t="s">
        <v>525</v>
      </c>
      <c r="H11" s="58" t="s">
        <v>291</v>
      </c>
      <c r="I11" s="58" t="s">
        <v>517</v>
      </c>
      <c r="J11" s="58" t="s">
        <v>2273</v>
      </c>
      <c r="K11" s="58" t="s">
        <v>2274</v>
      </c>
      <c r="L11" s="63" t="s">
        <v>3108</v>
      </c>
    </row>
    <row r="12" spans="2:12" x14ac:dyDescent="0.3">
      <c r="B12" s="56">
        <v>9</v>
      </c>
      <c r="C12" s="56" t="s">
        <v>2232</v>
      </c>
      <c r="D12" s="56" t="s">
        <v>2275</v>
      </c>
      <c r="E12" s="57" t="s">
        <v>2229</v>
      </c>
      <c r="F12" s="58" t="s">
        <v>2276</v>
      </c>
      <c r="G12" s="58" t="s">
        <v>672</v>
      </c>
      <c r="H12" s="58" t="s">
        <v>612</v>
      </c>
      <c r="I12" s="58" t="s">
        <v>517</v>
      </c>
      <c r="J12" s="58" t="s">
        <v>2277</v>
      </c>
      <c r="K12" s="58" t="s">
        <v>2278</v>
      </c>
      <c r="L12" s="63" t="s">
        <v>3109</v>
      </c>
    </row>
    <row r="13" spans="2:12" x14ac:dyDescent="0.3">
      <c r="B13" s="56">
        <v>10</v>
      </c>
      <c r="C13" s="56" t="s">
        <v>2232</v>
      </c>
      <c r="D13" s="56" t="s">
        <v>2279</v>
      </c>
      <c r="E13" s="57" t="s">
        <v>2280</v>
      </c>
      <c r="F13" s="58" t="s">
        <v>2281</v>
      </c>
      <c r="G13" s="58" t="s">
        <v>514</v>
      </c>
      <c r="H13" s="58" t="s">
        <v>516</v>
      </c>
      <c r="I13" s="58" t="s">
        <v>517</v>
      </c>
      <c r="J13" s="58" t="s">
        <v>2282</v>
      </c>
      <c r="K13" s="58" t="s">
        <v>2283</v>
      </c>
      <c r="L13" s="63" t="s">
        <v>3110</v>
      </c>
    </row>
    <row r="14" spans="2:12" x14ac:dyDescent="0.3">
      <c r="B14" s="56">
        <v>11</v>
      </c>
      <c r="C14" s="56" t="s">
        <v>2232</v>
      </c>
      <c r="D14" s="56" t="s">
        <v>2284</v>
      </c>
      <c r="E14" s="57" t="s">
        <v>2285</v>
      </c>
      <c r="F14" s="58" t="s">
        <v>2286</v>
      </c>
      <c r="G14" s="58" t="s">
        <v>2287</v>
      </c>
      <c r="H14" s="58" t="s">
        <v>1216</v>
      </c>
      <c r="I14" s="58" t="s">
        <v>1216</v>
      </c>
      <c r="J14" s="64" t="s">
        <v>2288</v>
      </c>
      <c r="K14" s="58" t="s">
        <v>2289</v>
      </c>
      <c r="L14" s="65" t="s">
        <v>3134</v>
      </c>
    </row>
    <row r="15" spans="2:12" x14ac:dyDescent="0.3">
      <c r="B15" s="56">
        <v>12</v>
      </c>
      <c r="C15" s="56" t="s">
        <v>2232</v>
      </c>
      <c r="D15" s="56" t="s">
        <v>2290</v>
      </c>
      <c r="E15" s="57" t="s">
        <v>2291</v>
      </c>
      <c r="F15" s="58" t="s">
        <v>2292</v>
      </c>
      <c r="G15" s="58" t="s">
        <v>1599</v>
      </c>
      <c r="H15" s="58" t="s">
        <v>1600</v>
      </c>
      <c r="I15" s="58" t="s">
        <v>1600</v>
      </c>
      <c r="J15" s="58" t="s">
        <v>2293</v>
      </c>
      <c r="K15" s="58" t="s">
        <v>2294</v>
      </c>
      <c r="L15" s="63" t="s">
        <v>3111</v>
      </c>
    </row>
    <row r="16" spans="2:12" x14ac:dyDescent="0.3">
      <c r="B16" s="56">
        <v>13</v>
      </c>
      <c r="C16" s="56" t="s">
        <v>2232</v>
      </c>
      <c r="D16" s="56" t="s">
        <v>2295</v>
      </c>
      <c r="E16" s="57" t="s">
        <v>2296</v>
      </c>
      <c r="F16" s="58" t="s">
        <v>2297</v>
      </c>
      <c r="G16" s="58" t="s">
        <v>2298</v>
      </c>
      <c r="H16" s="58" t="s">
        <v>1600</v>
      </c>
      <c r="I16" s="58" t="s">
        <v>1600</v>
      </c>
      <c r="J16" s="58" t="s">
        <v>2299</v>
      </c>
      <c r="K16" s="58" t="s">
        <v>2300</v>
      </c>
      <c r="L16" s="63" t="s">
        <v>3112</v>
      </c>
    </row>
    <row r="17" spans="2:12" x14ac:dyDescent="0.3">
      <c r="B17" s="56">
        <v>14</v>
      </c>
      <c r="C17" s="56" t="s">
        <v>2232</v>
      </c>
      <c r="D17" s="56" t="s">
        <v>2301</v>
      </c>
      <c r="E17" s="57" t="s">
        <v>2302</v>
      </c>
      <c r="F17" s="58" t="s">
        <v>2303</v>
      </c>
      <c r="G17" s="58" t="s">
        <v>2304</v>
      </c>
      <c r="H17" s="58" t="s">
        <v>1600</v>
      </c>
      <c r="I17" s="58" t="s">
        <v>1600</v>
      </c>
      <c r="J17" s="58" t="s">
        <v>2305</v>
      </c>
      <c r="K17" s="58" t="s">
        <v>2306</v>
      </c>
      <c r="L17" s="63" t="s">
        <v>3113</v>
      </c>
    </row>
    <row r="18" spans="2:12" x14ac:dyDescent="0.3">
      <c r="B18" s="56">
        <v>15</v>
      </c>
      <c r="C18" s="56" t="s">
        <v>2232</v>
      </c>
      <c r="D18" s="56" t="s">
        <v>2307</v>
      </c>
      <c r="E18" s="57" t="s">
        <v>2308</v>
      </c>
      <c r="F18" s="58" t="s">
        <v>2309</v>
      </c>
      <c r="G18" s="58" t="s">
        <v>2310</v>
      </c>
      <c r="H18" s="58" t="s">
        <v>1600</v>
      </c>
      <c r="I18" s="58" t="s">
        <v>1600</v>
      </c>
      <c r="J18" s="58" t="s">
        <v>2311</v>
      </c>
      <c r="K18" s="58" t="s">
        <v>2312</v>
      </c>
      <c r="L18" s="63" t="s">
        <v>3114</v>
      </c>
    </row>
    <row r="19" spans="2:12" x14ac:dyDescent="0.3">
      <c r="B19" s="56">
        <v>16</v>
      </c>
      <c r="C19" s="56" t="s">
        <v>2232</v>
      </c>
      <c r="D19" s="56" t="s">
        <v>2313</v>
      </c>
      <c r="E19" s="58" t="s">
        <v>2314</v>
      </c>
      <c r="F19" s="58" t="s">
        <v>2315</v>
      </c>
      <c r="G19" s="58" t="s">
        <v>1599</v>
      </c>
      <c r="H19" s="58" t="s">
        <v>1600</v>
      </c>
      <c r="I19" s="58" t="s">
        <v>1600</v>
      </c>
      <c r="J19" s="58" t="s">
        <v>2316</v>
      </c>
      <c r="K19" s="58" t="s">
        <v>2317</v>
      </c>
      <c r="L19" s="56" t="s">
        <v>3128</v>
      </c>
    </row>
    <row r="20" spans="2:12" x14ac:dyDescent="0.3">
      <c r="B20" s="56">
        <v>17</v>
      </c>
      <c r="C20" s="56" t="s">
        <v>2232</v>
      </c>
      <c r="D20" s="56" t="s">
        <v>2318</v>
      </c>
      <c r="E20" s="58" t="s">
        <v>2319</v>
      </c>
      <c r="F20" s="58" t="s">
        <v>2320</v>
      </c>
      <c r="G20" s="58" t="s">
        <v>2321</v>
      </c>
      <c r="H20" s="58" t="s">
        <v>1600</v>
      </c>
      <c r="I20" s="58" t="s">
        <v>1600</v>
      </c>
      <c r="J20" s="58" t="s">
        <v>2322</v>
      </c>
      <c r="K20" s="58" t="s">
        <v>2323</v>
      </c>
      <c r="L20" s="65" t="s">
        <v>3129</v>
      </c>
    </row>
    <row r="21" spans="2:12" x14ac:dyDescent="0.3">
      <c r="B21" s="56">
        <v>18</v>
      </c>
      <c r="C21" s="56" t="s">
        <v>2232</v>
      </c>
      <c r="D21" s="56" t="s">
        <v>2324</v>
      </c>
      <c r="E21" s="58" t="s">
        <v>2325</v>
      </c>
      <c r="F21" s="58" t="s">
        <v>2326</v>
      </c>
      <c r="G21" s="58" t="s">
        <v>2327</v>
      </c>
      <c r="H21" s="58" t="s">
        <v>2328</v>
      </c>
      <c r="I21" s="58" t="s">
        <v>2328</v>
      </c>
      <c r="J21" s="58" t="s">
        <v>2329</v>
      </c>
      <c r="K21" s="58" t="s">
        <v>2330</v>
      </c>
      <c r="L21" s="63" t="s">
        <v>3115</v>
      </c>
    </row>
    <row r="22" spans="2:12" x14ac:dyDescent="0.3">
      <c r="B22" s="56">
        <v>19</v>
      </c>
      <c r="C22" s="56" t="s">
        <v>2232</v>
      </c>
      <c r="D22" s="56" t="s">
        <v>2331</v>
      </c>
      <c r="E22" s="57" t="s">
        <v>2332</v>
      </c>
      <c r="F22" s="66" t="s">
        <v>2333</v>
      </c>
      <c r="G22" s="58" t="s">
        <v>2334</v>
      </c>
      <c r="H22" s="58" t="s">
        <v>893</v>
      </c>
      <c r="I22" s="58" t="s">
        <v>1620</v>
      </c>
      <c r="J22" s="58" t="s">
        <v>2335</v>
      </c>
      <c r="K22" s="58" t="s">
        <v>2336</v>
      </c>
      <c r="L22" s="65" t="s">
        <v>3133</v>
      </c>
    </row>
    <row r="23" spans="2:12" x14ac:dyDescent="0.3">
      <c r="B23" s="56">
        <v>20</v>
      </c>
      <c r="C23" s="56" t="s">
        <v>2232</v>
      </c>
      <c r="D23" s="56" t="s">
        <v>2337</v>
      </c>
      <c r="E23" s="57" t="s">
        <v>2338</v>
      </c>
      <c r="F23" s="66" t="s">
        <v>2339</v>
      </c>
      <c r="G23" s="58" t="s">
        <v>2340</v>
      </c>
      <c r="H23" s="58" t="s">
        <v>1740</v>
      </c>
      <c r="I23" s="58" t="s">
        <v>1740</v>
      </c>
      <c r="J23" s="58" t="s">
        <v>2341</v>
      </c>
      <c r="K23" s="58" t="s">
        <v>2342</v>
      </c>
      <c r="L23" s="63" t="s">
        <v>3116</v>
      </c>
    </row>
    <row r="24" spans="2:12" x14ac:dyDescent="0.3">
      <c r="B24" s="56">
        <v>21</v>
      </c>
      <c r="C24" s="56" t="s">
        <v>2232</v>
      </c>
      <c r="D24" s="56" t="s">
        <v>2343</v>
      </c>
      <c r="E24" s="57" t="s">
        <v>2344</v>
      </c>
      <c r="F24" s="58" t="s">
        <v>2345</v>
      </c>
      <c r="G24" s="58" t="s">
        <v>1752</v>
      </c>
      <c r="H24" s="58" t="s">
        <v>1740</v>
      </c>
      <c r="I24" s="58" t="s">
        <v>1740</v>
      </c>
      <c r="J24" s="58" t="s">
        <v>2346</v>
      </c>
      <c r="K24" s="58" t="s">
        <v>2347</v>
      </c>
      <c r="L24" s="63" t="s">
        <v>3117</v>
      </c>
    </row>
    <row r="25" spans="2:12" x14ac:dyDescent="0.3">
      <c r="B25" s="67"/>
      <c r="C25" s="67"/>
      <c r="D25" s="67"/>
      <c r="E25" s="68"/>
      <c r="F25" s="68"/>
      <c r="G25" s="68"/>
      <c r="H25" s="68"/>
      <c r="I25" s="68"/>
      <c r="J25" s="68"/>
      <c r="K25" s="68"/>
      <c r="L25" s="69"/>
    </row>
  </sheetData>
  <hyperlinks>
    <hyperlink ref="L22" r:id="rId1"/>
    <hyperlink ref="L14"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0"/>
  <sheetViews>
    <sheetView topLeftCell="A22" workbookViewId="0">
      <selection activeCell="A268" sqref="A268"/>
    </sheetView>
  </sheetViews>
  <sheetFormatPr defaultRowHeight="15" x14ac:dyDescent="0.25"/>
  <cols>
    <col min="4" max="4" width="106.85546875" bestFit="1" customWidth="1"/>
  </cols>
  <sheetData>
    <row r="1" spans="1:5" x14ac:dyDescent="0.25">
      <c r="A1" s="17" t="s">
        <v>3101</v>
      </c>
      <c r="B1" s="17"/>
      <c r="C1" s="17"/>
      <c r="D1" s="17"/>
      <c r="E1" s="17"/>
    </row>
    <row r="2" spans="1:5" x14ac:dyDescent="0.25">
      <c r="A2" t="s">
        <v>3099</v>
      </c>
      <c r="B2" t="s">
        <v>3098</v>
      </c>
      <c r="C2" t="s">
        <v>3097</v>
      </c>
      <c r="D2" t="s">
        <v>3095</v>
      </c>
      <c r="E2" t="s">
        <v>3096</v>
      </c>
    </row>
    <row r="3" spans="1:5" x14ac:dyDescent="0.25">
      <c r="A3" t="s">
        <v>2355</v>
      </c>
      <c r="B3">
        <v>-5.4497505000000004</v>
      </c>
      <c r="C3">
        <v>105.2628254</v>
      </c>
      <c r="D3" t="s">
        <v>2353</v>
      </c>
      <c r="E3" t="s">
        <v>2354</v>
      </c>
    </row>
    <row r="4" spans="1:5" x14ac:dyDescent="0.25">
      <c r="A4" t="s">
        <v>2358</v>
      </c>
      <c r="B4">
        <v>-7.7785833330000003</v>
      </c>
      <c r="C4">
        <v>112.2042778</v>
      </c>
      <c r="D4" t="s">
        <v>2356</v>
      </c>
      <c r="E4" t="s">
        <v>2357</v>
      </c>
    </row>
    <row r="5" spans="1:5" x14ac:dyDescent="0.25">
      <c r="A5" t="s">
        <v>2387</v>
      </c>
      <c r="B5">
        <v>-6.3351440999999999</v>
      </c>
      <c r="C5">
        <v>107.2741492</v>
      </c>
      <c r="D5" t="s">
        <v>2385</v>
      </c>
      <c r="E5" t="s">
        <v>2386</v>
      </c>
    </row>
    <row r="6" spans="1:5" x14ac:dyDescent="0.25">
      <c r="A6" t="s">
        <v>2743</v>
      </c>
      <c r="B6">
        <v>5.546271</v>
      </c>
      <c r="C6">
        <v>95.330094099999997</v>
      </c>
      <c r="D6" t="s">
        <v>14</v>
      </c>
      <c r="E6" t="s">
        <v>3094</v>
      </c>
    </row>
    <row r="7" spans="1:5" x14ac:dyDescent="0.25">
      <c r="A7" t="s">
        <v>2389</v>
      </c>
      <c r="B7">
        <v>5.3707010000000004</v>
      </c>
      <c r="C7">
        <v>95.958544000000003</v>
      </c>
      <c r="D7" t="s">
        <v>23</v>
      </c>
      <c r="E7" t="s">
        <v>2388</v>
      </c>
    </row>
    <row r="8" spans="1:5" x14ac:dyDescent="0.25">
      <c r="A8" t="s">
        <v>3093</v>
      </c>
      <c r="B8">
        <v>4.1530319000000002</v>
      </c>
      <c r="C8">
        <v>96.126461800000001</v>
      </c>
      <c r="D8" t="s">
        <v>30</v>
      </c>
      <c r="E8" t="s">
        <v>3092</v>
      </c>
    </row>
    <row r="9" spans="1:5" x14ac:dyDescent="0.25">
      <c r="A9" t="s">
        <v>3090</v>
      </c>
      <c r="B9">
        <v>5.5188033000000001</v>
      </c>
      <c r="C9">
        <v>95.330365999999998</v>
      </c>
      <c r="D9" t="s">
        <v>36</v>
      </c>
      <c r="E9" t="s">
        <v>3091</v>
      </c>
    </row>
    <row r="10" spans="1:5" x14ac:dyDescent="0.25">
      <c r="A10" t="s">
        <v>3090</v>
      </c>
      <c r="B10">
        <v>5.2326395000000003</v>
      </c>
      <c r="C10">
        <v>96.9852858</v>
      </c>
      <c r="D10" t="s">
        <v>42</v>
      </c>
      <c r="E10" t="s">
        <v>3089</v>
      </c>
    </row>
    <row r="11" spans="1:5" x14ac:dyDescent="0.25">
      <c r="A11" t="s">
        <v>3088</v>
      </c>
      <c r="B11">
        <v>5.5112125000000001</v>
      </c>
      <c r="C11">
        <v>95.345436699999993</v>
      </c>
      <c r="D11" t="s">
        <v>48</v>
      </c>
      <c r="E11" t="s">
        <v>3087</v>
      </c>
    </row>
    <row r="12" spans="1:5" x14ac:dyDescent="0.25">
      <c r="A12" t="s">
        <v>2405</v>
      </c>
      <c r="B12">
        <v>-3.6951988</v>
      </c>
      <c r="C12">
        <v>128.1783557</v>
      </c>
      <c r="D12" t="s">
        <v>226</v>
      </c>
      <c r="E12" t="s">
        <v>2404</v>
      </c>
    </row>
    <row r="13" spans="1:5" x14ac:dyDescent="0.25">
      <c r="A13" t="s">
        <v>3086</v>
      </c>
      <c r="B13">
        <v>-1.6471941999999999</v>
      </c>
      <c r="C13">
        <v>105.79099549999999</v>
      </c>
      <c r="D13" t="s">
        <v>54</v>
      </c>
      <c r="E13" t="s">
        <v>3085</v>
      </c>
    </row>
    <row r="14" spans="1:5" x14ac:dyDescent="0.25">
      <c r="A14" t="s">
        <v>3084</v>
      </c>
      <c r="B14">
        <v>-2.1470441999999998</v>
      </c>
      <c r="C14">
        <v>106.1124902</v>
      </c>
      <c r="D14" t="s">
        <v>63</v>
      </c>
      <c r="E14" t="s">
        <v>3083</v>
      </c>
    </row>
    <row r="15" spans="1:5" x14ac:dyDescent="0.25">
      <c r="A15" t="s">
        <v>3082</v>
      </c>
      <c r="B15">
        <v>-2.1499584</v>
      </c>
      <c r="C15">
        <v>106.1289211</v>
      </c>
      <c r="D15" t="s">
        <v>69</v>
      </c>
      <c r="E15" t="s">
        <v>3081</v>
      </c>
    </row>
    <row r="16" spans="1:5" x14ac:dyDescent="0.25">
      <c r="A16" t="s">
        <v>3080</v>
      </c>
      <c r="B16">
        <v>-2.1421923999999999</v>
      </c>
      <c r="C16">
        <v>106.1001594</v>
      </c>
      <c r="D16" t="s">
        <v>75</v>
      </c>
      <c r="E16" t="s">
        <v>3079</v>
      </c>
    </row>
    <row r="17" spans="1:5" x14ac:dyDescent="0.25">
      <c r="A17" t="s">
        <v>2418</v>
      </c>
      <c r="B17">
        <v>-1.8865647999999999</v>
      </c>
      <c r="C17">
        <v>106.1133091</v>
      </c>
      <c r="D17" t="s">
        <v>80</v>
      </c>
      <c r="E17" t="s">
        <v>2417</v>
      </c>
    </row>
    <row r="18" spans="1:5" x14ac:dyDescent="0.25">
      <c r="A18" t="s">
        <v>3078</v>
      </c>
      <c r="B18">
        <v>-8.6160195999999996</v>
      </c>
      <c r="C18">
        <v>115.2541142</v>
      </c>
      <c r="D18" t="s">
        <v>85</v>
      </c>
      <c r="E18" t="s">
        <v>3077</v>
      </c>
    </row>
    <row r="19" spans="1:5" x14ac:dyDescent="0.25">
      <c r="A19" t="s">
        <v>3076</v>
      </c>
      <c r="B19">
        <v>-8.5381108999999995</v>
      </c>
      <c r="C19">
        <v>115.12027860000001</v>
      </c>
      <c r="D19" t="s">
        <v>93</v>
      </c>
      <c r="E19" t="s">
        <v>3075</v>
      </c>
    </row>
    <row r="20" spans="1:5" x14ac:dyDescent="0.25">
      <c r="A20" t="s">
        <v>3074</v>
      </c>
      <c r="B20">
        <v>-8.5504274000000002</v>
      </c>
      <c r="C20">
        <v>115.37602769999999</v>
      </c>
      <c r="D20" t="s">
        <v>99</v>
      </c>
      <c r="E20" t="s">
        <v>3073</v>
      </c>
    </row>
    <row r="21" spans="1:5" x14ac:dyDescent="0.25">
      <c r="A21" t="s">
        <v>3072</v>
      </c>
      <c r="B21">
        <v>-8.6491720000000001</v>
      </c>
      <c r="C21">
        <v>115.228612</v>
      </c>
      <c r="D21" t="s">
        <v>105</v>
      </c>
      <c r="E21" t="s">
        <v>3071</v>
      </c>
    </row>
    <row r="22" spans="1:5" x14ac:dyDescent="0.25">
      <c r="A22" t="s">
        <v>3070</v>
      </c>
      <c r="B22">
        <v>-8.5260566999999998</v>
      </c>
      <c r="C22">
        <v>115.2945248</v>
      </c>
      <c r="D22" t="s">
        <v>111</v>
      </c>
      <c r="E22" t="s">
        <v>3069</v>
      </c>
    </row>
    <row r="23" spans="1:5" x14ac:dyDescent="0.25">
      <c r="A23" t="s">
        <v>3068</v>
      </c>
      <c r="B23">
        <v>-8.6357718999999999</v>
      </c>
      <c r="C23">
        <v>115.2330412</v>
      </c>
      <c r="D23" t="s">
        <v>117</v>
      </c>
      <c r="E23" t="s">
        <v>3067</v>
      </c>
    </row>
    <row r="24" spans="1:5" x14ac:dyDescent="0.25">
      <c r="A24" t="s">
        <v>3066</v>
      </c>
      <c r="B24">
        <v>-8.7861834999999999</v>
      </c>
      <c r="C24">
        <v>115.20399690000001</v>
      </c>
      <c r="D24" t="s">
        <v>122</v>
      </c>
      <c r="E24" t="s">
        <v>3065</v>
      </c>
    </row>
    <row r="25" spans="1:5" x14ac:dyDescent="0.25">
      <c r="A25" t="s">
        <v>3064</v>
      </c>
      <c r="B25">
        <v>-8.6362585999999997</v>
      </c>
      <c r="C25">
        <v>115.2849903</v>
      </c>
      <c r="D25" t="s">
        <v>3062</v>
      </c>
      <c r="E25" t="s">
        <v>3063</v>
      </c>
    </row>
    <row r="26" spans="1:5" x14ac:dyDescent="0.25">
      <c r="A26" t="s">
        <v>3061</v>
      </c>
      <c r="B26">
        <v>-8.6835418999999998</v>
      </c>
      <c r="C26">
        <v>115.1954887</v>
      </c>
      <c r="D26" t="s">
        <v>127</v>
      </c>
      <c r="E26" t="s">
        <v>3060</v>
      </c>
    </row>
    <row r="27" spans="1:5" x14ac:dyDescent="0.25">
      <c r="A27" t="s">
        <v>3059</v>
      </c>
      <c r="B27">
        <v>-8.6868403000000001</v>
      </c>
      <c r="C27">
        <v>115.25898549999999</v>
      </c>
      <c r="D27" t="s">
        <v>132</v>
      </c>
      <c r="E27" t="s">
        <v>3058</v>
      </c>
    </row>
    <row r="28" spans="1:5" x14ac:dyDescent="0.25">
      <c r="A28" t="s">
        <v>3057</v>
      </c>
      <c r="B28">
        <v>-8.6387982999999995</v>
      </c>
      <c r="C28">
        <v>115.2048118</v>
      </c>
      <c r="D28" t="s">
        <v>137</v>
      </c>
      <c r="E28" t="s">
        <v>3056</v>
      </c>
    </row>
    <row r="29" spans="1:5" x14ac:dyDescent="0.25">
      <c r="A29" t="s">
        <v>2695</v>
      </c>
      <c r="B29">
        <v>-8.6426452000000005</v>
      </c>
      <c r="C29">
        <v>115.20912370000001</v>
      </c>
      <c r="D29" t="s">
        <v>142</v>
      </c>
      <c r="E29" t="s">
        <v>3055</v>
      </c>
    </row>
    <row r="30" spans="1:5" x14ac:dyDescent="0.25">
      <c r="A30" t="s">
        <v>3054</v>
      </c>
      <c r="B30">
        <v>-8.1259873999999996</v>
      </c>
      <c r="C30">
        <v>115.0670006</v>
      </c>
      <c r="D30" t="s">
        <v>148</v>
      </c>
      <c r="E30" t="s">
        <v>3053</v>
      </c>
    </row>
    <row r="31" spans="1:5" x14ac:dyDescent="0.25">
      <c r="A31" t="s">
        <v>3052</v>
      </c>
      <c r="B31">
        <v>-8.6382688999999999</v>
      </c>
      <c r="C31">
        <v>115.2542827</v>
      </c>
      <c r="D31" t="s">
        <v>154</v>
      </c>
      <c r="E31" t="s">
        <v>3051</v>
      </c>
    </row>
    <row r="32" spans="1:5" x14ac:dyDescent="0.25">
      <c r="A32" t="s">
        <v>3050</v>
      </c>
      <c r="B32">
        <v>-8.6683512999999994</v>
      </c>
      <c r="C32">
        <v>115.20584359999999</v>
      </c>
      <c r="D32" t="s">
        <v>160</v>
      </c>
      <c r="E32" t="s">
        <v>3049</v>
      </c>
    </row>
    <row r="33" spans="1:5" x14ac:dyDescent="0.25">
      <c r="A33" t="s">
        <v>3048</v>
      </c>
      <c r="B33">
        <v>-8.5367417999999997</v>
      </c>
      <c r="C33">
        <v>115.33410619999999</v>
      </c>
      <c r="D33" t="s">
        <v>165</v>
      </c>
      <c r="E33" t="s">
        <v>3047</v>
      </c>
    </row>
    <row r="34" spans="1:5" x14ac:dyDescent="0.25">
      <c r="A34" t="s">
        <v>2943</v>
      </c>
      <c r="B34">
        <v>1.135319</v>
      </c>
      <c r="C34">
        <v>104.0023018</v>
      </c>
      <c r="D34" t="s">
        <v>231</v>
      </c>
      <c r="E34" t="s">
        <v>3046</v>
      </c>
    </row>
    <row r="35" spans="1:5" x14ac:dyDescent="0.25">
      <c r="A35" t="s">
        <v>3045</v>
      </c>
      <c r="B35">
        <v>1.135608</v>
      </c>
      <c r="C35">
        <v>104.0287589</v>
      </c>
      <c r="D35" t="s">
        <v>239</v>
      </c>
      <c r="E35" t="s">
        <v>3044</v>
      </c>
    </row>
    <row r="36" spans="1:5" x14ac:dyDescent="0.25">
      <c r="A36" t="s">
        <v>3043</v>
      </c>
      <c r="B36">
        <v>1.1244126999999999</v>
      </c>
      <c r="C36">
        <v>104.09816379999999</v>
      </c>
      <c r="D36" t="s">
        <v>244</v>
      </c>
      <c r="E36" t="s">
        <v>3042</v>
      </c>
    </row>
    <row r="37" spans="1:5" x14ac:dyDescent="0.25">
      <c r="A37" t="s">
        <v>3041</v>
      </c>
      <c r="B37">
        <v>1.1333759999999999</v>
      </c>
      <c r="C37">
        <v>104.0404059</v>
      </c>
      <c r="D37" t="s">
        <v>250</v>
      </c>
      <c r="E37" t="s">
        <v>3040</v>
      </c>
    </row>
    <row r="38" spans="1:5" x14ac:dyDescent="0.25">
      <c r="A38" t="s">
        <v>3039</v>
      </c>
      <c r="B38">
        <v>-4.4644041999999997</v>
      </c>
      <c r="C38">
        <v>102.9115556</v>
      </c>
      <c r="D38" t="s">
        <v>256</v>
      </c>
      <c r="E38" t="s">
        <v>3038</v>
      </c>
    </row>
    <row r="39" spans="1:5" x14ac:dyDescent="0.25">
      <c r="A39" t="s">
        <v>3037</v>
      </c>
      <c r="B39">
        <v>-3.8123619</v>
      </c>
      <c r="C39">
        <v>102.29414370000001</v>
      </c>
      <c r="D39" t="s">
        <v>263</v>
      </c>
      <c r="E39" t="s">
        <v>3036</v>
      </c>
    </row>
    <row r="40" spans="1:5" x14ac:dyDescent="0.25">
      <c r="A40" t="s">
        <v>3035</v>
      </c>
      <c r="B40">
        <v>-3.8249659999999999</v>
      </c>
      <c r="C40">
        <v>102.3018435</v>
      </c>
      <c r="D40" t="s">
        <v>269</v>
      </c>
      <c r="E40" t="s">
        <v>3034</v>
      </c>
    </row>
    <row r="41" spans="1:5" x14ac:dyDescent="0.25">
      <c r="A41" t="s">
        <v>3033</v>
      </c>
      <c r="B41">
        <v>-3.8071766999999999</v>
      </c>
      <c r="C41">
        <v>102.2805682</v>
      </c>
      <c r="D41" t="s">
        <v>275</v>
      </c>
      <c r="E41" t="s">
        <v>3032</v>
      </c>
    </row>
    <row r="42" spans="1:5" x14ac:dyDescent="0.25">
      <c r="A42" t="s">
        <v>3031</v>
      </c>
      <c r="B42">
        <v>-4.4665382999999999</v>
      </c>
      <c r="C42">
        <v>102.90615409999999</v>
      </c>
      <c r="D42" t="s">
        <v>280</v>
      </c>
      <c r="E42" t="s">
        <v>3030</v>
      </c>
    </row>
    <row r="43" spans="1:5" x14ac:dyDescent="0.25">
      <c r="A43" t="s">
        <v>2407</v>
      </c>
      <c r="B43">
        <v>0.56013420000000003</v>
      </c>
      <c r="C43">
        <v>123.06588429999999</v>
      </c>
      <c r="D43" t="s">
        <v>1847</v>
      </c>
      <c r="E43" t="s">
        <v>2406</v>
      </c>
    </row>
    <row r="44" spans="1:5" x14ac:dyDescent="0.25">
      <c r="A44" t="s">
        <v>3029</v>
      </c>
      <c r="B44">
        <v>-7.0143614999999997</v>
      </c>
      <c r="C44">
        <v>107.87705579999999</v>
      </c>
      <c r="D44" t="s">
        <v>285</v>
      </c>
      <c r="E44" t="s">
        <v>3028</v>
      </c>
    </row>
    <row r="45" spans="1:5" x14ac:dyDescent="0.25">
      <c r="A45" t="s">
        <v>3027</v>
      </c>
      <c r="B45">
        <v>-6.5265667000000001</v>
      </c>
      <c r="C45">
        <v>107.68027499999999</v>
      </c>
      <c r="D45" t="s">
        <v>294</v>
      </c>
      <c r="E45" t="s">
        <v>3026</v>
      </c>
    </row>
    <row r="46" spans="1:5" x14ac:dyDescent="0.25">
      <c r="A46" t="s">
        <v>3025</v>
      </c>
      <c r="B46">
        <v>-6.4613949000000002</v>
      </c>
      <c r="C46">
        <v>107.81029789999999</v>
      </c>
      <c r="D46" t="s">
        <v>301</v>
      </c>
      <c r="E46" t="s">
        <v>3024</v>
      </c>
    </row>
    <row r="47" spans="1:5" x14ac:dyDescent="0.25">
      <c r="A47" t="s">
        <v>3023</v>
      </c>
      <c r="B47">
        <v>-6.5171923999999999</v>
      </c>
      <c r="C47">
        <v>107.45101440000001</v>
      </c>
      <c r="D47" t="s">
        <v>305</v>
      </c>
      <c r="E47" t="s">
        <v>3022</v>
      </c>
    </row>
    <row r="48" spans="1:5" x14ac:dyDescent="0.25">
      <c r="A48" t="s">
        <v>3021</v>
      </c>
      <c r="B48">
        <v>-6.8321236000000001</v>
      </c>
      <c r="C48">
        <v>108.20924359999999</v>
      </c>
      <c r="D48" t="s">
        <v>312</v>
      </c>
      <c r="E48" t="s">
        <v>3020</v>
      </c>
    </row>
    <row r="49" spans="1:5" x14ac:dyDescent="0.25">
      <c r="A49" t="s">
        <v>3019</v>
      </c>
      <c r="B49">
        <v>-6.9319677000000004</v>
      </c>
      <c r="C49">
        <v>107.71436079999999</v>
      </c>
      <c r="D49" t="s">
        <v>319</v>
      </c>
      <c r="E49" t="s">
        <v>3018</v>
      </c>
    </row>
    <row r="50" spans="1:5" x14ac:dyDescent="0.25">
      <c r="A50" t="s">
        <v>3017</v>
      </c>
      <c r="B50">
        <v>-6.9172330999999998</v>
      </c>
      <c r="C50">
        <v>107.6117965</v>
      </c>
      <c r="D50" t="s">
        <v>325</v>
      </c>
      <c r="E50" t="s">
        <v>3016</v>
      </c>
    </row>
    <row r="51" spans="1:5" x14ac:dyDescent="0.25">
      <c r="A51" t="s">
        <v>332</v>
      </c>
      <c r="B51">
        <v>-7.2095473999999999</v>
      </c>
      <c r="C51">
        <v>107.89896709999999</v>
      </c>
      <c r="D51" t="s">
        <v>330</v>
      </c>
      <c r="E51" t="s">
        <v>3015</v>
      </c>
    </row>
    <row r="52" spans="1:5" x14ac:dyDescent="0.25">
      <c r="A52" t="s">
        <v>3014</v>
      </c>
      <c r="B52">
        <v>-7.1025600000000004</v>
      </c>
      <c r="C52">
        <v>107.46863500000001</v>
      </c>
      <c r="D52" t="s">
        <v>336</v>
      </c>
      <c r="E52" t="s">
        <v>3013</v>
      </c>
    </row>
    <row r="53" spans="1:5" x14ac:dyDescent="0.25">
      <c r="A53" t="s">
        <v>3012</v>
      </c>
      <c r="B53">
        <v>-7.2832156000000001</v>
      </c>
      <c r="C53">
        <v>108.19810889999999</v>
      </c>
      <c r="D53" t="s">
        <v>342</v>
      </c>
      <c r="E53" t="s">
        <v>3011</v>
      </c>
    </row>
    <row r="54" spans="1:5" x14ac:dyDescent="0.25">
      <c r="A54" t="s">
        <v>3010</v>
      </c>
      <c r="B54">
        <v>-6.7154577</v>
      </c>
      <c r="C54">
        <v>108.5555492</v>
      </c>
      <c r="D54" t="s">
        <v>348</v>
      </c>
      <c r="E54" t="s">
        <v>3009</v>
      </c>
    </row>
    <row r="55" spans="1:5" x14ac:dyDescent="0.25">
      <c r="A55" t="s">
        <v>3008</v>
      </c>
      <c r="B55">
        <v>-7.0439308</v>
      </c>
      <c r="C55">
        <v>107.5928644</v>
      </c>
      <c r="D55" t="s">
        <v>355</v>
      </c>
      <c r="E55" t="s">
        <v>3007</v>
      </c>
    </row>
    <row r="56" spans="1:5" x14ac:dyDescent="0.25">
      <c r="A56" t="s">
        <v>3006</v>
      </c>
      <c r="B56">
        <v>-7.0433199999999996</v>
      </c>
      <c r="C56">
        <v>107.5560244</v>
      </c>
      <c r="D56" t="s">
        <v>360</v>
      </c>
      <c r="E56" t="s">
        <v>3005</v>
      </c>
    </row>
    <row r="57" spans="1:5" x14ac:dyDescent="0.25">
      <c r="A57" t="s">
        <v>3004</v>
      </c>
      <c r="B57">
        <v>-6.7109857999999996</v>
      </c>
      <c r="C57">
        <v>108.54241620000001</v>
      </c>
      <c r="D57" t="s">
        <v>363</v>
      </c>
      <c r="E57" t="s">
        <v>3003</v>
      </c>
    </row>
    <row r="58" spans="1:5" x14ac:dyDescent="0.25">
      <c r="A58" t="s">
        <v>3002</v>
      </c>
      <c r="B58">
        <v>-7.3320020000000001</v>
      </c>
      <c r="C58">
        <v>108.36271929999999</v>
      </c>
      <c r="D58" t="s">
        <v>369</v>
      </c>
      <c r="E58" t="s">
        <v>3001</v>
      </c>
    </row>
    <row r="59" spans="1:5" x14ac:dyDescent="0.25">
      <c r="A59" t="s">
        <v>3000</v>
      </c>
      <c r="B59">
        <v>-6.8685757000000001</v>
      </c>
      <c r="C59">
        <v>107.5244067</v>
      </c>
      <c r="D59" t="s">
        <v>376</v>
      </c>
      <c r="E59" t="s">
        <v>2999</v>
      </c>
    </row>
    <row r="60" spans="1:5" x14ac:dyDescent="0.25">
      <c r="A60" t="s">
        <v>2998</v>
      </c>
      <c r="B60">
        <v>-6.9406489999999996</v>
      </c>
      <c r="C60">
        <v>107.472433</v>
      </c>
      <c r="D60" t="s">
        <v>381</v>
      </c>
      <c r="E60" t="s">
        <v>2997</v>
      </c>
    </row>
    <row r="61" spans="1:5" x14ac:dyDescent="0.25">
      <c r="A61" t="s">
        <v>2996</v>
      </c>
      <c r="B61">
        <v>-6.8760051999999998</v>
      </c>
      <c r="C61">
        <v>107.5974968</v>
      </c>
      <c r="D61" t="s">
        <v>386</v>
      </c>
      <c r="E61" t="s">
        <v>2995</v>
      </c>
    </row>
    <row r="62" spans="1:5" x14ac:dyDescent="0.25">
      <c r="A62" t="s">
        <v>2994</v>
      </c>
      <c r="B62">
        <v>-6.5734854</v>
      </c>
      <c r="C62">
        <v>107.75750119999999</v>
      </c>
      <c r="D62" t="s">
        <v>392</v>
      </c>
      <c r="E62" t="s">
        <v>2993</v>
      </c>
    </row>
    <row r="63" spans="1:5" x14ac:dyDescent="0.25">
      <c r="A63" t="s">
        <v>2992</v>
      </c>
      <c r="B63">
        <v>-7.0402437000000004</v>
      </c>
      <c r="C63">
        <v>107.725964</v>
      </c>
      <c r="D63" t="s">
        <v>397</v>
      </c>
      <c r="E63" t="s">
        <v>2991</v>
      </c>
    </row>
    <row r="64" spans="1:5" x14ac:dyDescent="0.25">
      <c r="A64" t="s">
        <v>2990</v>
      </c>
      <c r="B64">
        <v>-7.2267723999999998</v>
      </c>
      <c r="C64">
        <v>107.9122311</v>
      </c>
      <c r="D64" t="s">
        <v>403</v>
      </c>
      <c r="E64" t="s">
        <v>2989</v>
      </c>
    </row>
    <row r="65" spans="1:5" x14ac:dyDescent="0.25">
      <c r="A65" t="s">
        <v>2988</v>
      </c>
      <c r="B65">
        <v>-7.3454243000000004</v>
      </c>
      <c r="C65">
        <v>108.2179331</v>
      </c>
      <c r="D65" t="s">
        <v>409</v>
      </c>
      <c r="E65" t="s">
        <v>2987</v>
      </c>
    </row>
    <row r="66" spans="1:5" x14ac:dyDescent="0.25">
      <c r="A66" t="s">
        <v>2986</v>
      </c>
      <c r="B66">
        <v>-6.8959773000000002</v>
      </c>
      <c r="C66">
        <v>107.5420268</v>
      </c>
      <c r="D66" t="s">
        <v>415</v>
      </c>
      <c r="E66" t="s">
        <v>2985</v>
      </c>
    </row>
    <row r="67" spans="1:5" x14ac:dyDescent="0.25">
      <c r="A67" t="s">
        <v>2984</v>
      </c>
      <c r="B67">
        <v>-6.9192891000000003</v>
      </c>
      <c r="C67">
        <v>107.59258560000001</v>
      </c>
      <c r="D67" t="s">
        <v>422</v>
      </c>
      <c r="E67" t="s">
        <v>2983</v>
      </c>
    </row>
    <row r="68" spans="1:5" x14ac:dyDescent="0.25">
      <c r="A68" t="s">
        <v>2982</v>
      </c>
      <c r="B68">
        <v>-6.9293079999999998</v>
      </c>
      <c r="C68">
        <v>107.5761104</v>
      </c>
      <c r="D68" t="s">
        <v>428</v>
      </c>
      <c r="E68" t="s">
        <v>2981</v>
      </c>
    </row>
    <row r="69" spans="1:5" x14ac:dyDescent="0.25">
      <c r="A69" t="s">
        <v>2980</v>
      </c>
      <c r="B69">
        <v>-6.8313329999999999</v>
      </c>
      <c r="C69">
        <v>107.92214079999999</v>
      </c>
      <c r="D69" t="s">
        <v>434</v>
      </c>
      <c r="E69" t="s">
        <v>2979</v>
      </c>
    </row>
    <row r="70" spans="1:5" x14ac:dyDescent="0.25">
      <c r="A70" t="s">
        <v>2978</v>
      </c>
      <c r="B70">
        <v>-6.8420760999999999</v>
      </c>
      <c r="C70">
        <v>107.93779429999999</v>
      </c>
      <c r="D70" t="s">
        <v>441</v>
      </c>
      <c r="E70" t="s">
        <v>2977</v>
      </c>
    </row>
    <row r="71" spans="1:5" x14ac:dyDescent="0.25">
      <c r="A71" t="s">
        <v>2976</v>
      </c>
      <c r="B71">
        <v>-6.9422385999999996</v>
      </c>
      <c r="C71">
        <v>107.5838662</v>
      </c>
      <c r="D71" t="s">
        <v>445</v>
      </c>
      <c r="E71" t="s">
        <v>2975</v>
      </c>
    </row>
    <row r="72" spans="1:5" x14ac:dyDescent="0.25">
      <c r="A72" t="s">
        <v>2974</v>
      </c>
      <c r="B72">
        <v>-6.9306692999999999</v>
      </c>
      <c r="C72">
        <v>107.5880966</v>
      </c>
      <c r="D72" t="s">
        <v>451</v>
      </c>
      <c r="E72" t="s">
        <v>2973</v>
      </c>
    </row>
    <row r="73" spans="1:5" x14ac:dyDescent="0.25">
      <c r="A73" t="s">
        <v>2773</v>
      </c>
      <c r="B73">
        <v>-6.9378894999999998</v>
      </c>
      <c r="C73">
        <v>107.59914379999999</v>
      </c>
      <c r="D73" t="s">
        <v>457</v>
      </c>
      <c r="E73" t="s">
        <v>2972</v>
      </c>
    </row>
    <row r="74" spans="1:5" x14ac:dyDescent="0.25">
      <c r="A74" t="s">
        <v>2971</v>
      </c>
      <c r="B74">
        <v>-6.9444299999999997</v>
      </c>
      <c r="C74">
        <v>107.75785399999999</v>
      </c>
      <c r="D74" t="s">
        <v>463</v>
      </c>
      <c r="E74" t="s">
        <v>2970</v>
      </c>
    </row>
    <row r="75" spans="1:5" x14ac:dyDescent="0.25">
      <c r="A75" t="s">
        <v>2969</v>
      </c>
      <c r="B75">
        <v>-6.9659274</v>
      </c>
      <c r="C75">
        <v>107.57169879999999</v>
      </c>
      <c r="D75" t="s">
        <v>469</v>
      </c>
      <c r="E75" t="s">
        <v>2968</v>
      </c>
    </row>
    <row r="76" spans="1:5" x14ac:dyDescent="0.25">
      <c r="A76" t="s">
        <v>2967</v>
      </c>
      <c r="B76">
        <v>-6.7538711999999999</v>
      </c>
      <c r="C76">
        <v>107.04649879999999</v>
      </c>
      <c r="D76" t="s">
        <v>475</v>
      </c>
      <c r="E76" t="s">
        <v>2966</v>
      </c>
    </row>
    <row r="77" spans="1:5" x14ac:dyDescent="0.25">
      <c r="A77" t="s">
        <v>2965</v>
      </c>
      <c r="B77">
        <v>-6.7185882000000001</v>
      </c>
      <c r="C77">
        <v>108.5602305</v>
      </c>
      <c r="D77" t="s">
        <v>481</v>
      </c>
      <c r="E77" t="s">
        <v>2964</v>
      </c>
    </row>
    <row r="78" spans="1:5" x14ac:dyDescent="0.25">
      <c r="A78" t="s">
        <v>2963</v>
      </c>
      <c r="B78">
        <v>-6.9644361999999997</v>
      </c>
      <c r="C78">
        <v>107.63798869999999</v>
      </c>
      <c r="D78" t="s">
        <v>486</v>
      </c>
      <c r="E78" t="s">
        <v>2962</v>
      </c>
    </row>
    <row r="79" spans="1:5" x14ac:dyDescent="0.25">
      <c r="A79" t="s">
        <v>2961</v>
      </c>
      <c r="B79">
        <v>-7.1891284000000004</v>
      </c>
      <c r="C79">
        <v>108.3726714</v>
      </c>
      <c r="D79" t="s">
        <v>492</v>
      </c>
      <c r="E79" t="s">
        <v>2960</v>
      </c>
    </row>
    <row r="80" spans="1:5" x14ac:dyDescent="0.25">
      <c r="A80" t="s">
        <v>2428</v>
      </c>
      <c r="B80">
        <v>-6.8555295000000003</v>
      </c>
      <c r="C80">
        <v>107.4983032</v>
      </c>
      <c r="D80" t="s">
        <v>497</v>
      </c>
      <c r="E80" t="s">
        <v>2427</v>
      </c>
    </row>
    <row r="81" spans="1:5" x14ac:dyDescent="0.25">
      <c r="A81" t="s">
        <v>506</v>
      </c>
      <c r="B81">
        <v>-6.9730584999999996</v>
      </c>
      <c r="C81">
        <v>108.5225877</v>
      </c>
      <c r="D81" t="s">
        <v>504</v>
      </c>
      <c r="E81" t="s">
        <v>2414</v>
      </c>
    </row>
    <row r="82" spans="1:5" x14ac:dyDescent="0.25">
      <c r="A82" t="s">
        <v>2959</v>
      </c>
      <c r="B82">
        <v>-6.2585838000000003</v>
      </c>
      <c r="C82">
        <v>106.6195675</v>
      </c>
      <c r="D82" t="s">
        <v>510</v>
      </c>
      <c r="E82" t="s">
        <v>2958</v>
      </c>
    </row>
    <row r="83" spans="1:5" x14ac:dyDescent="0.25">
      <c r="A83" t="s">
        <v>2957</v>
      </c>
      <c r="B83">
        <v>-6.3305683999999998</v>
      </c>
      <c r="C83">
        <v>106.783598</v>
      </c>
      <c r="D83" t="s">
        <v>521</v>
      </c>
      <c r="E83" t="s">
        <v>2956</v>
      </c>
    </row>
    <row r="84" spans="1:5" x14ac:dyDescent="0.25">
      <c r="A84" t="s">
        <v>2955</v>
      </c>
      <c r="B84">
        <v>-6.2453118999999999</v>
      </c>
      <c r="C84">
        <v>106.67120490000001</v>
      </c>
      <c r="D84" t="s">
        <v>527</v>
      </c>
      <c r="E84" t="s">
        <v>2954</v>
      </c>
    </row>
    <row r="85" spans="1:5" x14ac:dyDescent="0.25">
      <c r="A85" t="s">
        <v>2953</v>
      </c>
      <c r="B85">
        <v>-6.2801162000000001</v>
      </c>
      <c r="C85">
        <v>106.71555480000001</v>
      </c>
      <c r="D85" t="s">
        <v>533</v>
      </c>
      <c r="E85" t="s">
        <v>2952</v>
      </c>
    </row>
    <row r="86" spans="1:5" x14ac:dyDescent="0.25">
      <c r="A86" t="s">
        <v>2951</v>
      </c>
      <c r="B86">
        <v>-6.1197787000000003</v>
      </c>
      <c r="C86">
        <v>106.1996838</v>
      </c>
      <c r="D86" t="s">
        <v>538</v>
      </c>
      <c r="E86" t="s">
        <v>2950</v>
      </c>
    </row>
    <row r="87" spans="1:5" x14ac:dyDescent="0.25">
      <c r="A87" t="s">
        <v>2949</v>
      </c>
      <c r="B87">
        <v>-6.1105708999999999</v>
      </c>
      <c r="C87">
        <v>106.1440353</v>
      </c>
      <c r="D87" t="s">
        <v>545</v>
      </c>
      <c r="E87" t="s">
        <v>2948</v>
      </c>
    </row>
    <row r="88" spans="1:5" x14ac:dyDescent="0.25">
      <c r="A88" t="s">
        <v>2947</v>
      </c>
      <c r="B88">
        <v>-6.100333</v>
      </c>
      <c r="C88">
        <v>106.155232</v>
      </c>
      <c r="D88" t="s">
        <v>551</v>
      </c>
      <c r="E88" t="s">
        <v>2946</v>
      </c>
    </row>
    <row r="89" spans="1:5" x14ac:dyDescent="0.25">
      <c r="A89" t="s">
        <v>2945</v>
      </c>
      <c r="B89">
        <v>-6.1310954999999998</v>
      </c>
      <c r="C89">
        <v>106.1605423</v>
      </c>
      <c r="D89" t="s">
        <v>555</v>
      </c>
      <c r="E89" t="s">
        <v>2944</v>
      </c>
    </row>
    <row r="90" spans="1:5" x14ac:dyDescent="0.25">
      <c r="A90" t="s">
        <v>2943</v>
      </c>
      <c r="B90">
        <v>-6.2389188999999998</v>
      </c>
      <c r="C90">
        <v>106.6463196</v>
      </c>
      <c r="D90" t="s">
        <v>559</v>
      </c>
      <c r="E90" t="s">
        <v>2942</v>
      </c>
    </row>
    <row r="91" spans="1:5" x14ac:dyDescent="0.25">
      <c r="A91" t="s">
        <v>2941</v>
      </c>
      <c r="B91">
        <v>-6.3118596</v>
      </c>
      <c r="C91">
        <v>106.7531006</v>
      </c>
      <c r="D91" t="s">
        <v>565</v>
      </c>
      <c r="E91" t="s">
        <v>2940</v>
      </c>
    </row>
    <row r="92" spans="1:5" x14ac:dyDescent="0.25">
      <c r="A92" t="s">
        <v>2939</v>
      </c>
      <c r="B92">
        <v>-6.2227658999999997</v>
      </c>
      <c r="C92">
        <v>106.6192447</v>
      </c>
      <c r="D92" t="s">
        <v>571</v>
      </c>
      <c r="E92" t="s">
        <v>2938</v>
      </c>
    </row>
    <row r="93" spans="1:5" x14ac:dyDescent="0.25">
      <c r="A93" t="s">
        <v>2937</v>
      </c>
      <c r="B93">
        <v>-6.2063750999999998</v>
      </c>
      <c r="C93">
        <v>106.9780013</v>
      </c>
      <c r="D93" t="s">
        <v>578</v>
      </c>
      <c r="E93" t="s">
        <v>2936</v>
      </c>
    </row>
    <row r="94" spans="1:5" x14ac:dyDescent="0.25">
      <c r="A94" t="s">
        <v>2935</v>
      </c>
      <c r="B94">
        <v>-6.2963826999999997</v>
      </c>
      <c r="C94">
        <v>107.3260678</v>
      </c>
      <c r="D94" t="s">
        <v>584</v>
      </c>
      <c r="E94" t="s">
        <v>2934</v>
      </c>
    </row>
    <row r="95" spans="1:5" x14ac:dyDescent="0.25">
      <c r="A95" t="s">
        <v>2933</v>
      </c>
      <c r="B95">
        <v>-6.2496840999999996</v>
      </c>
      <c r="C95">
        <v>106.9541004</v>
      </c>
      <c r="D95" t="s">
        <v>591</v>
      </c>
      <c r="E95" t="s">
        <v>2932</v>
      </c>
    </row>
    <row r="96" spans="1:5" x14ac:dyDescent="0.25">
      <c r="A96" t="s">
        <v>2931</v>
      </c>
      <c r="B96">
        <v>-6.0448348000000003</v>
      </c>
      <c r="C96">
        <v>106.0749845</v>
      </c>
      <c r="D96" t="s">
        <v>596</v>
      </c>
      <c r="E96" t="s">
        <v>2930</v>
      </c>
    </row>
    <row r="97" spans="1:5" x14ac:dyDescent="0.25">
      <c r="A97" t="s">
        <v>2929</v>
      </c>
      <c r="B97">
        <v>-6.2608877999999999</v>
      </c>
      <c r="C97">
        <v>106.9977106</v>
      </c>
      <c r="D97" t="s">
        <v>602</v>
      </c>
      <c r="E97" t="s">
        <v>2928</v>
      </c>
    </row>
    <row r="98" spans="1:5" x14ac:dyDescent="0.25">
      <c r="A98" t="s">
        <v>2927</v>
      </c>
      <c r="B98">
        <v>-6.1930319999999996</v>
      </c>
      <c r="C98">
        <v>106.884944</v>
      </c>
      <c r="D98" t="s">
        <v>608</v>
      </c>
      <c r="E98" t="s">
        <v>2926</v>
      </c>
    </row>
    <row r="99" spans="1:5" x14ac:dyDescent="0.25">
      <c r="A99" t="s">
        <v>2925</v>
      </c>
      <c r="B99">
        <v>-6.3408091999999998</v>
      </c>
      <c r="C99">
        <v>106.86938979999999</v>
      </c>
      <c r="D99" t="s">
        <v>615</v>
      </c>
      <c r="E99" t="s">
        <v>2924</v>
      </c>
    </row>
    <row r="100" spans="1:5" x14ac:dyDescent="0.25">
      <c r="A100" t="s">
        <v>2923</v>
      </c>
      <c r="B100">
        <v>-6.1222779999999997</v>
      </c>
      <c r="C100">
        <v>106.1724553</v>
      </c>
      <c r="D100" t="s">
        <v>621</v>
      </c>
      <c r="E100" t="s">
        <v>2922</v>
      </c>
    </row>
    <row r="101" spans="1:5" x14ac:dyDescent="0.25">
      <c r="A101" t="s">
        <v>2921</v>
      </c>
      <c r="B101">
        <v>-6.0381818000000003</v>
      </c>
      <c r="C101">
        <v>106.0877167</v>
      </c>
      <c r="D101" t="s">
        <v>627</v>
      </c>
      <c r="E101" t="s">
        <v>2920</v>
      </c>
    </row>
    <row r="102" spans="1:5" x14ac:dyDescent="0.25">
      <c r="A102" t="s">
        <v>2919</v>
      </c>
      <c r="B102">
        <v>-6.1809425999999998</v>
      </c>
      <c r="C102">
        <v>106.98282279999999</v>
      </c>
      <c r="D102" t="s">
        <v>633</v>
      </c>
      <c r="E102" t="s">
        <v>2918</v>
      </c>
    </row>
    <row r="103" spans="1:5" x14ac:dyDescent="0.25">
      <c r="A103" t="s">
        <v>2826</v>
      </c>
      <c r="B103">
        <v>-6.5268300000000004</v>
      </c>
      <c r="C103">
        <v>106.76540799999999</v>
      </c>
      <c r="D103" t="s">
        <v>639</v>
      </c>
      <c r="E103" t="s">
        <v>2917</v>
      </c>
    </row>
    <row r="104" spans="1:5" x14ac:dyDescent="0.25">
      <c r="A104" t="s">
        <v>2916</v>
      </c>
      <c r="B104">
        <v>-6.2770508999999999</v>
      </c>
      <c r="C104">
        <v>106.9131326</v>
      </c>
      <c r="D104" t="s">
        <v>646</v>
      </c>
      <c r="E104" t="s">
        <v>2915</v>
      </c>
    </row>
    <row r="105" spans="1:5" x14ac:dyDescent="0.25">
      <c r="A105" t="s">
        <v>2367</v>
      </c>
      <c r="B105">
        <v>-6.3151630000000001</v>
      </c>
      <c r="C105">
        <v>106.76941669999999</v>
      </c>
      <c r="D105" t="s">
        <v>651</v>
      </c>
      <c r="E105" t="s">
        <v>2366</v>
      </c>
    </row>
    <row r="106" spans="1:5" x14ac:dyDescent="0.25">
      <c r="A106" t="s">
        <v>2365</v>
      </c>
      <c r="B106">
        <v>-6.3300774000000004</v>
      </c>
      <c r="C106">
        <v>107.3296491</v>
      </c>
      <c r="D106" t="s">
        <v>657</v>
      </c>
      <c r="E106" t="s">
        <v>2364</v>
      </c>
    </row>
    <row r="107" spans="1:5" x14ac:dyDescent="0.25">
      <c r="A107" t="s">
        <v>2363</v>
      </c>
      <c r="B107">
        <v>-6.3461515000000004</v>
      </c>
      <c r="C107">
        <v>106.7142116</v>
      </c>
      <c r="D107" t="s">
        <v>663</v>
      </c>
      <c r="E107" t="s">
        <v>2362</v>
      </c>
    </row>
    <row r="108" spans="1:5" x14ac:dyDescent="0.25">
      <c r="A108" t="s">
        <v>2914</v>
      </c>
      <c r="B108">
        <v>-6.2173363000000004</v>
      </c>
      <c r="C108">
        <v>106.7605662</v>
      </c>
      <c r="D108" t="s">
        <v>668</v>
      </c>
      <c r="E108" t="s">
        <v>2913</v>
      </c>
    </row>
    <row r="109" spans="1:5" x14ac:dyDescent="0.25">
      <c r="A109" t="s">
        <v>2912</v>
      </c>
      <c r="B109">
        <v>-6.1481588</v>
      </c>
      <c r="C109">
        <v>106.9113329</v>
      </c>
      <c r="D109" t="s">
        <v>675</v>
      </c>
      <c r="E109" t="s">
        <v>2911</v>
      </c>
    </row>
    <row r="110" spans="1:5" x14ac:dyDescent="0.25">
      <c r="A110" t="s">
        <v>2910</v>
      </c>
      <c r="B110">
        <v>-6.1750115000000001</v>
      </c>
      <c r="C110">
        <v>106.8495918</v>
      </c>
      <c r="D110" t="s">
        <v>682</v>
      </c>
      <c r="E110" t="s">
        <v>2909</v>
      </c>
    </row>
    <row r="111" spans="1:5" x14ac:dyDescent="0.25">
      <c r="A111" t="s">
        <v>2908</v>
      </c>
      <c r="B111">
        <v>-6.1739379999999997</v>
      </c>
      <c r="C111">
        <v>106.658192</v>
      </c>
      <c r="D111" t="s">
        <v>689</v>
      </c>
      <c r="E111" t="s">
        <v>2907</v>
      </c>
    </row>
    <row r="112" spans="1:5" x14ac:dyDescent="0.25">
      <c r="A112" t="s">
        <v>2906</v>
      </c>
      <c r="B112">
        <v>-6.2643050000000002</v>
      </c>
      <c r="C112">
        <v>107.13742139999999</v>
      </c>
      <c r="D112" t="s">
        <v>695</v>
      </c>
      <c r="E112" t="s">
        <v>2905</v>
      </c>
    </row>
    <row r="113" spans="1:5" x14ac:dyDescent="0.25">
      <c r="A113" t="s">
        <v>2904</v>
      </c>
      <c r="B113">
        <v>-6.2104429000000003</v>
      </c>
      <c r="C113">
        <v>106.3889307</v>
      </c>
      <c r="D113" t="s">
        <v>701</v>
      </c>
      <c r="E113" t="s">
        <v>2903</v>
      </c>
    </row>
    <row r="114" spans="1:5" x14ac:dyDescent="0.25">
      <c r="A114" t="s">
        <v>2902</v>
      </c>
      <c r="B114">
        <v>-6.1954637999999997</v>
      </c>
      <c r="C114">
        <v>106.7392758</v>
      </c>
      <c r="D114" t="s">
        <v>707</v>
      </c>
      <c r="E114" t="s">
        <v>2901</v>
      </c>
    </row>
    <row r="115" spans="1:5" x14ac:dyDescent="0.25">
      <c r="A115" t="s">
        <v>2900</v>
      </c>
      <c r="B115">
        <v>-6.3314712000000002</v>
      </c>
      <c r="C115">
        <v>107.14465250000001</v>
      </c>
      <c r="D115" t="s">
        <v>713</v>
      </c>
      <c r="E115" t="s">
        <v>2899</v>
      </c>
    </row>
    <row r="116" spans="1:5" x14ac:dyDescent="0.25">
      <c r="A116" t="s">
        <v>2898</v>
      </c>
      <c r="B116">
        <v>-6.3153800000000002</v>
      </c>
      <c r="C116">
        <v>107.0034179</v>
      </c>
      <c r="D116" t="s">
        <v>719</v>
      </c>
      <c r="E116" t="s">
        <v>2897</v>
      </c>
    </row>
    <row r="117" spans="1:5" x14ac:dyDescent="0.25">
      <c r="A117" t="s">
        <v>2896</v>
      </c>
      <c r="B117">
        <v>-6.2970686000000002</v>
      </c>
      <c r="C117">
        <v>106.68185339999999</v>
      </c>
      <c r="D117" t="s">
        <v>725</v>
      </c>
      <c r="E117" t="s">
        <v>2895</v>
      </c>
    </row>
    <row r="118" spans="1:5" x14ac:dyDescent="0.25">
      <c r="A118" t="s">
        <v>2894</v>
      </c>
      <c r="B118">
        <v>-6.5665899999999997</v>
      </c>
      <c r="C118">
        <v>106.597522</v>
      </c>
      <c r="D118" t="s">
        <v>731</v>
      </c>
      <c r="E118" t="s">
        <v>2893</v>
      </c>
    </row>
    <row r="119" spans="1:5" x14ac:dyDescent="0.25">
      <c r="A119" t="s">
        <v>2892</v>
      </c>
      <c r="B119">
        <v>-6.1183692000000001</v>
      </c>
      <c r="C119">
        <v>106.78788369999999</v>
      </c>
      <c r="D119" t="s">
        <v>737</v>
      </c>
      <c r="E119" t="s">
        <v>2891</v>
      </c>
    </row>
    <row r="120" spans="1:5" x14ac:dyDescent="0.25">
      <c r="A120" t="s">
        <v>2890</v>
      </c>
      <c r="B120">
        <v>-6.2227573999999999</v>
      </c>
      <c r="C120">
        <v>106.92357440000001</v>
      </c>
      <c r="D120" t="s">
        <v>743</v>
      </c>
      <c r="E120" t="s">
        <v>2889</v>
      </c>
    </row>
    <row r="121" spans="1:5" x14ac:dyDescent="0.25">
      <c r="A121" t="s">
        <v>2888</v>
      </c>
      <c r="B121">
        <v>-6.3095144999999997</v>
      </c>
      <c r="C121">
        <v>107.29753220000001</v>
      </c>
      <c r="D121" t="s">
        <v>749</v>
      </c>
      <c r="E121" t="s">
        <v>2887</v>
      </c>
    </row>
    <row r="122" spans="1:5" x14ac:dyDescent="0.25">
      <c r="A122" t="s">
        <v>2886</v>
      </c>
      <c r="B122">
        <v>-6.4378719999999996</v>
      </c>
      <c r="C122">
        <v>106.851927</v>
      </c>
      <c r="D122" t="s">
        <v>755</v>
      </c>
      <c r="E122" t="s">
        <v>2885</v>
      </c>
    </row>
    <row r="123" spans="1:5" x14ac:dyDescent="0.25">
      <c r="A123" t="s">
        <v>2771</v>
      </c>
      <c r="B123">
        <v>-6.4999320999999997</v>
      </c>
      <c r="C123">
        <v>106.8437606</v>
      </c>
      <c r="D123" t="s">
        <v>761</v>
      </c>
      <c r="E123" t="s">
        <v>2770</v>
      </c>
    </row>
    <row r="124" spans="1:5" x14ac:dyDescent="0.25">
      <c r="A124" t="s">
        <v>2884</v>
      </c>
      <c r="B124">
        <v>-6.3661659000000004</v>
      </c>
      <c r="C124">
        <v>107.36574109999999</v>
      </c>
      <c r="D124" t="s">
        <v>767</v>
      </c>
      <c r="E124" t="s">
        <v>2883</v>
      </c>
    </row>
    <row r="125" spans="1:5" x14ac:dyDescent="0.25">
      <c r="A125" t="s">
        <v>2882</v>
      </c>
      <c r="B125">
        <v>-6.4088548999999997</v>
      </c>
      <c r="C125">
        <v>106.9812225</v>
      </c>
      <c r="D125" t="s">
        <v>772</v>
      </c>
      <c r="E125" t="s">
        <v>2881</v>
      </c>
    </row>
    <row r="126" spans="1:5" x14ac:dyDescent="0.25">
      <c r="A126" t="s">
        <v>2880</v>
      </c>
      <c r="B126">
        <v>-6.3822397999999998</v>
      </c>
      <c r="C126">
        <v>105.8355904</v>
      </c>
      <c r="D126" t="s">
        <v>776</v>
      </c>
      <c r="E126" t="s">
        <v>2879</v>
      </c>
    </row>
    <row r="127" spans="1:5" x14ac:dyDescent="0.25">
      <c r="A127" t="s">
        <v>2878</v>
      </c>
      <c r="B127">
        <v>-6.1256209999999998</v>
      </c>
      <c r="C127">
        <v>106.2315093</v>
      </c>
      <c r="D127" t="s">
        <v>783</v>
      </c>
      <c r="E127" t="s">
        <v>2877</v>
      </c>
    </row>
    <row r="128" spans="1:5" x14ac:dyDescent="0.25">
      <c r="A128" t="s">
        <v>2876</v>
      </c>
      <c r="B128">
        <v>-6.2270399000000003</v>
      </c>
      <c r="C128">
        <v>106.866986</v>
      </c>
      <c r="D128" t="s">
        <v>789</v>
      </c>
      <c r="E128" t="s">
        <v>2875</v>
      </c>
    </row>
    <row r="129" spans="1:5" x14ac:dyDescent="0.25">
      <c r="A129" t="s">
        <v>2658</v>
      </c>
      <c r="B129">
        <v>-6.4786852000000001</v>
      </c>
      <c r="C129">
        <v>106.8546293</v>
      </c>
      <c r="D129" t="s">
        <v>795</v>
      </c>
      <c r="E129" t="s">
        <v>2874</v>
      </c>
    </row>
    <row r="130" spans="1:5" x14ac:dyDescent="0.25">
      <c r="A130" t="s">
        <v>2873</v>
      </c>
      <c r="B130">
        <v>-6.2314821</v>
      </c>
      <c r="C130">
        <v>106.62857839999999</v>
      </c>
      <c r="D130" t="s">
        <v>801</v>
      </c>
      <c r="E130" t="s">
        <v>2872</v>
      </c>
    </row>
    <row r="131" spans="1:5" x14ac:dyDescent="0.25">
      <c r="A131" t="s">
        <v>2871</v>
      </c>
      <c r="B131">
        <v>-6.2385929999999998</v>
      </c>
      <c r="C131">
        <v>106.63352879999999</v>
      </c>
      <c r="D131" t="s">
        <v>2869</v>
      </c>
      <c r="E131" t="s">
        <v>2870</v>
      </c>
    </row>
    <row r="132" spans="1:5" x14ac:dyDescent="0.25">
      <c r="A132" t="s">
        <v>2868</v>
      </c>
      <c r="B132">
        <v>-6.1573167</v>
      </c>
      <c r="C132">
        <v>106.7592757</v>
      </c>
      <c r="D132" t="s">
        <v>2866</v>
      </c>
      <c r="E132" t="s">
        <v>2867</v>
      </c>
    </row>
    <row r="133" spans="1:5" x14ac:dyDescent="0.25">
      <c r="A133" t="s">
        <v>2865</v>
      </c>
      <c r="B133">
        <v>-6.5568213000000002</v>
      </c>
      <c r="C133">
        <v>106.7764459</v>
      </c>
      <c r="D133" t="s">
        <v>2863</v>
      </c>
      <c r="E133" t="s">
        <v>2864</v>
      </c>
    </row>
    <row r="134" spans="1:5" x14ac:dyDescent="0.25">
      <c r="A134" t="s">
        <v>2862</v>
      </c>
      <c r="B134">
        <v>-6.3759138999999996</v>
      </c>
      <c r="C134">
        <v>106.9176149</v>
      </c>
      <c r="D134" t="s">
        <v>807</v>
      </c>
      <c r="E134" t="s">
        <v>2861</v>
      </c>
    </row>
    <row r="135" spans="1:5" x14ac:dyDescent="0.25">
      <c r="A135" t="s">
        <v>2860</v>
      </c>
      <c r="B135">
        <v>-6.5595914999999998</v>
      </c>
      <c r="C135">
        <v>106.6894277</v>
      </c>
      <c r="D135" t="s">
        <v>812</v>
      </c>
      <c r="E135" t="s">
        <v>2859</v>
      </c>
    </row>
    <row r="136" spans="1:5" x14ac:dyDescent="0.25">
      <c r="A136" t="s">
        <v>2858</v>
      </c>
      <c r="B136">
        <v>-6.1974004999999996</v>
      </c>
      <c r="C136">
        <v>106.76510690000001</v>
      </c>
      <c r="D136" t="s">
        <v>816</v>
      </c>
      <c r="E136" t="s">
        <v>2857</v>
      </c>
    </row>
    <row r="137" spans="1:5" x14ac:dyDescent="0.25">
      <c r="A137" t="s">
        <v>2856</v>
      </c>
      <c r="B137">
        <v>-6.2690989999999998</v>
      </c>
      <c r="C137">
        <v>106.73714099999999</v>
      </c>
      <c r="D137" t="s">
        <v>822</v>
      </c>
      <c r="E137" t="s">
        <v>2855</v>
      </c>
    </row>
    <row r="138" spans="1:5" x14ac:dyDescent="0.25">
      <c r="A138" t="s">
        <v>2854</v>
      </c>
      <c r="B138">
        <v>-6.1534610000000001</v>
      </c>
      <c r="C138">
        <v>106.984268</v>
      </c>
      <c r="D138" t="s">
        <v>826</v>
      </c>
      <c r="E138" t="s">
        <v>2853</v>
      </c>
    </row>
    <row r="139" spans="1:5" x14ac:dyDescent="0.25">
      <c r="A139" t="s">
        <v>2695</v>
      </c>
      <c r="B139">
        <v>-6.1401979999999998</v>
      </c>
      <c r="C139">
        <v>106.8555513</v>
      </c>
      <c r="D139" t="s">
        <v>832</v>
      </c>
      <c r="E139" t="s">
        <v>2852</v>
      </c>
    </row>
    <row r="140" spans="1:5" x14ac:dyDescent="0.25">
      <c r="A140" t="s">
        <v>2851</v>
      </c>
      <c r="B140">
        <v>-6.1994835999999998</v>
      </c>
      <c r="C140">
        <v>106.51485510000001</v>
      </c>
      <c r="D140" t="s">
        <v>837</v>
      </c>
      <c r="E140" t="s">
        <v>2850</v>
      </c>
    </row>
    <row r="141" spans="1:5" x14ac:dyDescent="0.25">
      <c r="A141" t="s">
        <v>2849</v>
      </c>
      <c r="B141">
        <v>-6.1727442000000003</v>
      </c>
      <c r="C141">
        <v>106.8609618</v>
      </c>
      <c r="D141" t="s">
        <v>843</v>
      </c>
      <c r="E141" t="s">
        <v>2848</v>
      </c>
    </row>
    <row r="142" spans="1:5" x14ac:dyDescent="0.25">
      <c r="A142" t="s">
        <v>2847</v>
      </c>
      <c r="B142">
        <v>-6.2575175999999999</v>
      </c>
      <c r="C142">
        <v>107.0413654</v>
      </c>
      <c r="D142" t="s">
        <v>848</v>
      </c>
      <c r="E142" t="s">
        <v>2846</v>
      </c>
    </row>
    <row r="143" spans="1:5" x14ac:dyDescent="0.25">
      <c r="A143" t="s">
        <v>2456</v>
      </c>
      <c r="B143">
        <v>-6.3079824999999996</v>
      </c>
      <c r="C143">
        <v>106.9549415</v>
      </c>
      <c r="D143" t="s">
        <v>853</v>
      </c>
      <c r="E143" t="s">
        <v>2455</v>
      </c>
    </row>
    <row r="144" spans="1:5" x14ac:dyDescent="0.25">
      <c r="A144" t="s">
        <v>2434</v>
      </c>
      <c r="B144">
        <v>-6.1838479</v>
      </c>
      <c r="C144">
        <v>106.69813929999999</v>
      </c>
      <c r="D144" t="s">
        <v>858</v>
      </c>
      <c r="E144" t="s">
        <v>2433</v>
      </c>
    </row>
    <row r="145" spans="1:5" x14ac:dyDescent="0.25">
      <c r="A145" t="s">
        <v>2426</v>
      </c>
      <c r="B145">
        <v>-6.3207525999999996</v>
      </c>
      <c r="C145">
        <v>106.6827572</v>
      </c>
      <c r="D145" t="s">
        <v>862</v>
      </c>
      <c r="E145" t="s">
        <v>2425</v>
      </c>
    </row>
    <row r="146" spans="1:5" x14ac:dyDescent="0.25">
      <c r="A146" t="s">
        <v>2422</v>
      </c>
      <c r="B146">
        <v>-6.1819698000000001</v>
      </c>
      <c r="C146">
        <v>106.7837454</v>
      </c>
      <c r="D146" t="s">
        <v>867</v>
      </c>
      <c r="E146" t="s">
        <v>2421</v>
      </c>
    </row>
    <row r="147" spans="1:5" x14ac:dyDescent="0.25">
      <c r="A147" t="s">
        <v>2401</v>
      </c>
      <c r="B147">
        <v>-6.1859234000000001</v>
      </c>
      <c r="C147">
        <v>106.61588740000001</v>
      </c>
      <c r="D147" t="s">
        <v>871</v>
      </c>
      <c r="E147" t="s">
        <v>2400</v>
      </c>
    </row>
    <row r="148" spans="1:5" x14ac:dyDescent="0.25">
      <c r="A148" t="s">
        <v>2391</v>
      </c>
      <c r="B148">
        <v>-6.6210813000000002</v>
      </c>
      <c r="C148">
        <v>106.8077332</v>
      </c>
      <c r="D148" t="s">
        <v>874</v>
      </c>
      <c r="E148" t="s">
        <v>2390</v>
      </c>
    </row>
    <row r="149" spans="1:5" x14ac:dyDescent="0.25">
      <c r="A149" t="s">
        <v>2361</v>
      </c>
      <c r="B149">
        <v>-6.3984848000000003</v>
      </c>
      <c r="C149">
        <v>106.77153199999999</v>
      </c>
      <c r="D149" t="s">
        <v>2359</v>
      </c>
      <c r="E149" t="s">
        <v>2360</v>
      </c>
    </row>
    <row r="150" spans="1:5" x14ac:dyDescent="0.25">
      <c r="A150" t="s">
        <v>2845</v>
      </c>
      <c r="B150">
        <v>-1.6062604</v>
      </c>
      <c r="C150">
        <v>103.6486264</v>
      </c>
      <c r="D150" t="s">
        <v>889</v>
      </c>
      <c r="E150" t="s">
        <v>2844</v>
      </c>
    </row>
    <row r="151" spans="1:5" x14ac:dyDescent="0.25">
      <c r="A151" t="s">
        <v>2843</v>
      </c>
      <c r="B151">
        <v>-1.5989928</v>
      </c>
      <c r="C151">
        <v>103.62758820000001</v>
      </c>
      <c r="D151" t="s">
        <v>896</v>
      </c>
      <c r="E151" t="s">
        <v>2842</v>
      </c>
    </row>
    <row r="152" spans="1:5" x14ac:dyDescent="0.25">
      <c r="A152" t="s">
        <v>2841</v>
      </c>
      <c r="B152">
        <v>-1.618738</v>
      </c>
      <c r="C152">
        <v>103.5970049</v>
      </c>
      <c r="D152" t="s">
        <v>902</v>
      </c>
      <c r="E152" t="s">
        <v>2840</v>
      </c>
    </row>
    <row r="153" spans="1:5" x14ac:dyDescent="0.25">
      <c r="A153" t="s">
        <v>2839</v>
      </c>
      <c r="B153">
        <v>-1.6131442</v>
      </c>
      <c r="C153">
        <v>103.6254273</v>
      </c>
      <c r="D153" t="s">
        <v>908</v>
      </c>
      <c r="E153" t="s">
        <v>2838</v>
      </c>
    </row>
    <row r="154" spans="1:5" x14ac:dyDescent="0.25">
      <c r="A154" t="s">
        <v>2753</v>
      </c>
      <c r="B154">
        <v>-6.7342807999999996</v>
      </c>
      <c r="C154">
        <v>111.3544156</v>
      </c>
      <c r="D154" t="s">
        <v>913</v>
      </c>
      <c r="E154" t="s">
        <v>2837</v>
      </c>
    </row>
    <row r="155" spans="1:5" x14ac:dyDescent="0.25">
      <c r="A155" t="s">
        <v>2559</v>
      </c>
      <c r="B155">
        <v>-7.6092725999999997</v>
      </c>
      <c r="C155">
        <v>110.8182334</v>
      </c>
      <c r="D155" t="s">
        <v>922</v>
      </c>
      <c r="E155" t="s">
        <v>2558</v>
      </c>
    </row>
    <row r="156" spans="1:5" x14ac:dyDescent="0.25">
      <c r="A156" t="s">
        <v>2836</v>
      </c>
      <c r="B156">
        <v>-6.9872300999999997</v>
      </c>
      <c r="C156">
        <v>110.41644599999999</v>
      </c>
      <c r="D156" t="s">
        <v>929</v>
      </c>
      <c r="E156" t="s">
        <v>2835</v>
      </c>
    </row>
    <row r="157" spans="1:5" x14ac:dyDescent="0.25">
      <c r="A157" t="s">
        <v>2834</v>
      </c>
      <c r="B157">
        <v>-7.6994319999999998</v>
      </c>
      <c r="C157">
        <v>110.615036</v>
      </c>
      <c r="D157" t="s">
        <v>936</v>
      </c>
      <c r="E157" t="s">
        <v>2833</v>
      </c>
    </row>
    <row r="158" spans="1:5" x14ac:dyDescent="0.25">
      <c r="A158" t="s">
        <v>2832</v>
      </c>
      <c r="B158">
        <v>-7.0119210000000001</v>
      </c>
      <c r="C158">
        <v>110.47622079999999</v>
      </c>
      <c r="D158" t="s">
        <v>943</v>
      </c>
      <c r="E158" t="s">
        <v>2831</v>
      </c>
    </row>
    <row r="159" spans="1:5" x14ac:dyDescent="0.25">
      <c r="A159" t="s">
        <v>2442</v>
      </c>
      <c r="B159">
        <v>-7.4386368999999997</v>
      </c>
      <c r="C159">
        <v>109.24413370000001</v>
      </c>
      <c r="D159" t="s">
        <v>947</v>
      </c>
      <c r="E159" t="s">
        <v>2830</v>
      </c>
    </row>
    <row r="160" spans="1:5" x14ac:dyDescent="0.25">
      <c r="A160" t="s">
        <v>2442</v>
      </c>
      <c r="B160">
        <v>-7.5484242000000004</v>
      </c>
      <c r="C160">
        <v>110.7319291</v>
      </c>
      <c r="D160" t="s">
        <v>954</v>
      </c>
      <c r="E160" t="s">
        <v>2829</v>
      </c>
    </row>
    <row r="161" spans="1:5" x14ac:dyDescent="0.25">
      <c r="A161" t="s">
        <v>2828</v>
      </c>
      <c r="B161">
        <v>-7.3887150000000004</v>
      </c>
      <c r="C161">
        <v>109.35833890000001</v>
      </c>
      <c r="D161" t="s">
        <v>959</v>
      </c>
      <c r="E161" t="s">
        <v>2827</v>
      </c>
    </row>
    <row r="162" spans="1:5" x14ac:dyDescent="0.25">
      <c r="A162" t="s">
        <v>2826</v>
      </c>
      <c r="B162">
        <v>-6.8059896999999996</v>
      </c>
      <c r="C162">
        <v>110.8959016</v>
      </c>
      <c r="D162" t="s">
        <v>966</v>
      </c>
      <c r="E162" t="s">
        <v>2825</v>
      </c>
    </row>
    <row r="163" spans="1:5" x14ac:dyDescent="0.25">
      <c r="A163" t="s">
        <v>2824</v>
      </c>
      <c r="B163">
        <v>-7.7687040999999999</v>
      </c>
      <c r="C163">
        <v>110.36157609999999</v>
      </c>
      <c r="D163" t="s">
        <v>971</v>
      </c>
      <c r="E163" t="s">
        <v>2823</v>
      </c>
    </row>
    <row r="164" spans="1:5" x14ac:dyDescent="0.25">
      <c r="A164" t="s">
        <v>2822</v>
      </c>
      <c r="B164">
        <v>-7.599818</v>
      </c>
      <c r="C164">
        <v>110.954757</v>
      </c>
      <c r="D164" t="s">
        <v>979</v>
      </c>
      <c r="E164" t="s">
        <v>2821</v>
      </c>
    </row>
    <row r="165" spans="1:5" x14ac:dyDescent="0.25">
      <c r="A165" t="s">
        <v>2820</v>
      </c>
      <c r="B165">
        <v>-7.3928807000000001</v>
      </c>
      <c r="C165">
        <v>109.7001401</v>
      </c>
      <c r="D165" t="s">
        <v>985</v>
      </c>
      <c r="E165" t="s">
        <v>2819</v>
      </c>
    </row>
    <row r="166" spans="1:5" x14ac:dyDescent="0.25">
      <c r="A166" t="s">
        <v>2818</v>
      </c>
      <c r="B166">
        <v>-6.9756397000000003</v>
      </c>
      <c r="C166">
        <v>110.41287560000001</v>
      </c>
      <c r="D166" t="s">
        <v>991</v>
      </c>
      <c r="E166" t="s">
        <v>2817</v>
      </c>
    </row>
    <row r="167" spans="1:5" x14ac:dyDescent="0.25">
      <c r="A167" t="s">
        <v>2815</v>
      </c>
      <c r="B167">
        <v>-7.9750459999999999</v>
      </c>
      <c r="C167">
        <v>110.610353</v>
      </c>
      <c r="D167" t="s">
        <v>997</v>
      </c>
      <c r="E167" t="s">
        <v>2816</v>
      </c>
    </row>
    <row r="168" spans="1:5" x14ac:dyDescent="0.25">
      <c r="A168" t="s">
        <v>2815</v>
      </c>
      <c r="B168">
        <v>-6.8655299999999997</v>
      </c>
      <c r="C168">
        <v>109.013312</v>
      </c>
      <c r="D168" t="s">
        <v>1004</v>
      </c>
      <c r="E168" t="s">
        <v>2814</v>
      </c>
    </row>
    <row r="169" spans="1:5" x14ac:dyDescent="0.25">
      <c r="A169" t="s">
        <v>2813</v>
      </c>
      <c r="B169">
        <v>-7.7250529999999999</v>
      </c>
      <c r="C169">
        <v>109.005503</v>
      </c>
      <c r="D169" t="s">
        <v>1010</v>
      </c>
      <c r="E169" t="s">
        <v>2812</v>
      </c>
    </row>
    <row r="170" spans="1:5" x14ac:dyDescent="0.25">
      <c r="A170" t="s">
        <v>2811</v>
      </c>
      <c r="B170">
        <v>-7.5062365</v>
      </c>
      <c r="C170">
        <v>110.2185389</v>
      </c>
      <c r="D170" t="s">
        <v>1017</v>
      </c>
      <c r="E170" t="s">
        <v>2810</v>
      </c>
    </row>
    <row r="171" spans="1:5" x14ac:dyDescent="0.25">
      <c r="A171" t="s">
        <v>2809</v>
      </c>
      <c r="B171">
        <v>-7.4676568000000003</v>
      </c>
      <c r="C171">
        <v>110.2174579</v>
      </c>
      <c r="D171" t="s">
        <v>1023</v>
      </c>
      <c r="E171" t="s">
        <v>2808</v>
      </c>
    </row>
    <row r="172" spans="1:5" x14ac:dyDescent="0.25">
      <c r="A172" t="s">
        <v>2806</v>
      </c>
      <c r="B172">
        <v>-7.1054417000000001</v>
      </c>
      <c r="C172">
        <v>110.2808026</v>
      </c>
      <c r="D172" t="s">
        <v>1028</v>
      </c>
      <c r="E172" t="s">
        <v>2807</v>
      </c>
    </row>
    <row r="173" spans="1:5" x14ac:dyDescent="0.25">
      <c r="A173" t="s">
        <v>2806</v>
      </c>
      <c r="B173">
        <v>-6.9696600000000002</v>
      </c>
      <c r="C173">
        <v>110.43275</v>
      </c>
      <c r="D173" t="s">
        <v>1034</v>
      </c>
      <c r="E173" t="s">
        <v>2805</v>
      </c>
    </row>
    <row r="174" spans="1:5" x14ac:dyDescent="0.25">
      <c r="A174" t="s">
        <v>2804</v>
      </c>
      <c r="B174">
        <v>-6.8226418000000004</v>
      </c>
      <c r="C174">
        <v>110.835677</v>
      </c>
      <c r="D174" t="s">
        <v>1038</v>
      </c>
      <c r="E174" t="s">
        <v>2803</v>
      </c>
    </row>
    <row r="175" spans="1:5" x14ac:dyDescent="0.25">
      <c r="A175" t="s">
        <v>2802</v>
      </c>
      <c r="B175">
        <v>-7.6653611000000001</v>
      </c>
      <c r="C175">
        <v>109.6614943</v>
      </c>
      <c r="D175" t="s">
        <v>1044</v>
      </c>
      <c r="E175" t="s">
        <v>2801</v>
      </c>
    </row>
    <row r="176" spans="1:5" x14ac:dyDescent="0.25">
      <c r="A176" t="s">
        <v>2800</v>
      </c>
      <c r="B176">
        <v>-7.6004253000000004</v>
      </c>
      <c r="C176">
        <v>110.81381089999999</v>
      </c>
      <c r="D176" t="s">
        <v>1050</v>
      </c>
      <c r="E176" t="s">
        <v>2799</v>
      </c>
    </row>
    <row r="177" spans="1:5" x14ac:dyDescent="0.25">
      <c r="A177" t="s">
        <v>2798</v>
      </c>
      <c r="B177">
        <v>-7.3935689</v>
      </c>
      <c r="C177">
        <v>109.96685669999999</v>
      </c>
      <c r="D177" t="s">
        <v>1056</v>
      </c>
      <c r="E177" t="s">
        <v>2797</v>
      </c>
    </row>
    <row r="178" spans="1:5" x14ac:dyDescent="0.25">
      <c r="A178" t="s">
        <v>2796</v>
      </c>
      <c r="B178">
        <v>-7.8000546000000002</v>
      </c>
      <c r="C178">
        <v>110.3564858</v>
      </c>
      <c r="D178" t="s">
        <v>1062</v>
      </c>
      <c r="E178" t="s">
        <v>2795</v>
      </c>
    </row>
    <row r="179" spans="1:5" x14ac:dyDescent="0.25">
      <c r="A179" t="s">
        <v>2794</v>
      </c>
      <c r="B179">
        <v>-6.8866835000000002</v>
      </c>
      <c r="C179">
        <v>110.65341359999999</v>
      </c>
      <c r="D179" t="s">
        <v>1068</v>
      </c>
      <c r="E179" t="s">
        <v>2793</v>
      </c>
    </row>
    <row r="180" spans="1:5" x14ac:dyDescent="0.25">
      <c r="A180" t="s">
        <v>2792</v>
      </c>
      <c r="B180">
        <v>-7.0182701999999999</v>
      </c>
      <c r="C180">
        <v>110.3381837</v>
      </c>
      <c r="D180" t="s">
        <v>1075</v>
      </c>
      <c r="E180" t="s">
        <v>2791</v>
      </c>
    </row>
    <row r="181" spans="1:5" x14ac:dyDescent="0.25">
      <c r="A181" t="s">
        <v>2790</v>
      </c>
      <c r="B181">
        <v>-6.8653972999999997</v>
      </c>
      <c r="C181">
        <v>109.1335571</v>
      </c>
      <c r="D181" t="s">
        <v>1081</v>
      </c>
      <c r="E181" t="s">
        <v>2789</v>
      </c>
    </row>
    <row r="182" spans="1:5" x14ac:dyDescent="0.25">
      <c r="A182" t="s">
        <v>2788</v>
      </c>
      <c r="B182">
        <v>-6.5754511999999998</v>
      </c>
      <c r="C182">
        <v>111.0427833</v>
      </c>
      <c r="D182" t="s">
        <v>1088</v>
      </c>
      <c r="E182" t="s">
        <v>2787</v>
      </c>
    </row>
    <row r="183" spans="1:5" x14ac:dyDescent="0.25">
      <c r="A183" t="s">
        <v>2786</v>
      </c>
      <c r="B183">
        <v>-6.9940204000000001</v>
      </c>
      <c r="C183">
        <v>110.43466189999999</v>
      </c>
      <c r="D183" t="s">
        <v>1095</v>
      </c>
      <c r="E183" t="s">
        <v>2785</v>
      </c>
    </row>
    <row r="184" spans="1:5" x14ac:dyDescent="0.25">
      <c r="A184" t="s">
        <v>2784</v>
      </c>
      <c r="B184">
        <v>-6.9857835000000001</v>
      </c>
      <c r="C184">
        <v>110.3799341</v>
      </c>
      <c r="D184" t="s">
        <v>1101</v>
      </c>
      <c r="E184" t="s">
        <v>2783</v>
      </c>
    </row>
    <row r="185" spans="1:5" x14ac:dyDescent="0.25">
      <c r="A185" t="s">
        <v>2782</v>
      </c>
      <c r="B185">
        <v>-7.4415871999999998</v>
      </c>
      <c r="C185">
        <v>109.2257937</v>
      </c>
      <c r="D185" t="s">
        <v>1107</v>
      </c>
      <c r="E185" t="s">
        <v>2781</v>
      </c>
    </row>
    <row r="186" spans="1:5" x14ac:dyDescent="0.25">
      <c r="A186" t="s">
        <v>2780</v>
      </c>
      <c r="B186">
        <v>-6.5293701999999998</v>
      </c>
      <c r="C186">
        <v>110.7376064</v>
      </c>
      <c r="D186" t="s">
        <v>1113</v>
      </c>
      <c r="E186" t="s">
        <v>2779</v>
      </c>
    </row>
    <row r="187" spans="1:5" x14ac:dyDescent="0.25">
      <c r="A187" t="s">
        <v>2778</v>
      </c>
      <c r="B187">
        <v>-7.0252787999999997</v>
      </c>
      <c r="C187">
        <v>110.4681104</v>
      </c>
      <c r="D187" t="s">
        <v>1119</v>
      </c>
      <c r="E187" t="s">
        <v>2777</v>
      </c>
    </row>
    <row r="188" spans="1:5" x14ac:dyDescent="0.25">
      <c r="A188" t="s">
        <v>2776</v>
      </c>
      <c r="B188">
        <v>-7.5666408000000001</v>
      </c>
      <c r="C188">
        <v>110.79768369999999</v>
      </c>
      <c r="D188" t="s">
        <v>1124</v>
      </c>
      <c r="E188" t="s">
        <v>2775</v>
      </c>
    </row>
    <row r="189" spans="1:5" x14ac:dyDescent="0.25">
      <c r="A189" t="s">
        <v>2773</v>
      </c>
      <c r="B189">
        <v>-7.0704349000000004</v>
      </c>
      <c r="C189">
        <v>110.9294919</v>
      </c>
      <c r="D189" t="s">
        <v>1131</v>
      </c>
      <c r="E189" t="s">
        <v>2774</v>
      </c>
    </row>
    <row r="190" spans="1:5" x14ac:dyDescent="0.25">
      <c r="A190" t="s">
        <v>2773</v>
      </c>
      <c r="B190">
        <v>-7.4228778000000002</v>
      </c>
      <c r="C190">
        <v>109.21540830000001</v>
      </c>
      <c r="D190" t="s">
        <v>1138</v>
      </c>
      <c r="E190" t="s">
        <v>2772</v>
      </c>
    </row>
    <row r="191" spans="1:5" x14ac:dyDescent="0.25">
      <c r="A191" t="s">
        <v>2769</v>
      </c>
      <c r="B191">
        <v>-6.9012327000000004</v>
      </c>
      <c r="C191">
        <v>109.6735146</v>
      </c>
      <c r="D191" t="s">
        <v>1144</v>
      </c>
      <c r="E191" t="s">
        <v>2768</v>
      </c>
    </row>
    <row r="192" spans="1:5" x14ac:dyDescent="0.25">
      <c r="A192" t="s">
        <v>2767</v>
      </c>
      <c r="B192">
        <v>-6.7042777999999998</v>
      </c>
      <c r="C192">
        <v>111.3333792</v>
      </c>
      <c r="D192" t="s">
        <v>1151</v>
      </c>
      <c r="E192" t="s">
        <v>2766</v>
      </c>
    </row>
    <row r="193" spans="1:5" x14ac:dyDescent="0.25">
      <c r="A193" t="s">
        <v>2765</v>
      </c>
      <c r="B193">
        <v>-7.7630825000000003</v>
      </c>
      <c r="C193">
        <v>110.43211410000001</v>
      </c>
      <c r="D193" t="s">
        <v>1157</v>
      </c>
      <c r="E193" t="s">
        <v>2764</v>
      </c>
    </row>
    <row r="194" spans="1:5" x14ac:dyDescent="0.25">
      <c r="A194" t="s">
        <v>2763</v>
      </c>
      <c r="B194">
        <v>-7.9039444000000003</v>
      </c>
      <c r="C194">
        <v>110.32177</v>
      </c>
      <c r="D194" t="s">
        <v>1162</v>
      </c>
      <c r="E194" t="s">
        <v>2762</v>
      </c>
    </row>
    <row r="195" spans="1:5" x14ac:dyDescent="0.25">
      <c r="A195" t="s">
        <v>2761</v>
      </c>
      <c r="B195">
        <v>-7.8278695999999997</v>
      </c>
      <c r="C195">
        <v>110.4431658</v>
      </c>
      <c r="D195" t="s">
        <v>1167</v>
      </c>
      <c r="E195" t="s">
        <v>2760</v>
      </c>
    </row>
    <row r="196" spans="1:5" x14ac:dyDescent="0.25">
      <c r="A196" t="s">
        <v>2759</v>
      </c>
      <c r="B196">
        <v>-6.7507631000000003</v>
      </c>
      <c r="C196">
        <v>111.0478918</v>
      </c>
      <c r="D196" t="s">
        <v>1173</v>
      </c>
      <c r="E196" t="s">
        <v>2758</v>
      </c>
    </row>
    <row r="197" spans="1:5" x14ac:dyDescent="0.25">
      <c r="A197" t="s">
        <v>2757</v>
      </c>
      <c r="B197">
        <v>-7.3049562000000003</v>
      </c>
      <c r="C197">
        <v>109.3686464</v>
      </c>
      <c r="D197" t="s">
        <v>1178</v>
      </c>
      <c r="E197" t="s">
        <v>2756</v>
      </c>
    </row>
    <row r="198" spans="1:5" x14ac:dyDescent="0.25">
      <c r="A198" t="s">
        <v>2755</v>
      </c>
      <c r="B198">
        <v>-7.4009849000000001</v>
      </c>
      <c r="C198">
        <v>109.3493199</v>
      </c>
      <c r="D198" t="s">
        <v>1185</v>
      </c>
      <c r="E198" t="s">
        <v>2754</v>
      </c>
    </row>
    <row r="199" spans="1:5" x14ac:dyDescent="0.25">
      <c r="A199" t="s">
        <v>2377</v>
      </c>
      <c r="B199">
        <v>-7.2824552999999996</v>
      </c>
      <c r="C199">
        <v>110.4606659</v>
      </c>
      <c r="D199" t="s">
        <v>1190</v>
      </c>
      <c r="E199" t="s">
        <v>2376</v>
      </c>
    </row>
    <row r="200" spans="1:5" x14ac:dyDescent="0.25">
      <c r="A200" t="s">
        <v>2430</v>
      </c>
      <c r="B200">
        <v>-6.7995599999999996</v>
      </c>
      <c r="C200">
        <v>110.8174107</v>
      </c>
      <c r="D200" t="s">
        <v>1195</v>
      </c>
      <c r="E200" t="s">
        <v>2429</v>
      </c>
    </row>
    <row r="201" spans="1:5" x14ac:dyDescent="0.25">
      <c r="A201" t="s">
        <v>2397</v>
      </c>
      <c r="B201">
        <v>-7.5732790000000003</v>
      </c>
      <c r="C201">
        <v>110.261892</v>
      </c>
      <c r="D201" t="s">
        <v>1199</v>
      </c>
      <c r="E201" t="s">
        <v>2396</v>
      </c>
    </row>
    <row r="202" spans="1:5" x14ac:dyDescent="0.25">
      <c r="A202" t="s">
        <v>2395</v>
      </c>
      <c r="B202">
        <v>-7.8161256000000003</v>
      </c>
      <c r="C202">
        <v>110.4021917</v>
      </c>
      <c r="D202" t="s">
        <v>1203</v>
      </c>
      <c r="E202" t="s">
        <v>2394</v>
      </c>
    </row>
    <row r="203" spans="1:5" x14ac:dyDescent="0.25">
      <c r="A203" t="s">
        <v>2753</v>
      </c>
      <c r="B203">
        <v>-7.2740095</v>
      </c>
      <c r="C203">
        <v>112.6601088</v>
      </c>
      <c r="D203" t="s">
        <v>1211</v>
      </c>
      <c r="E203" t="s">
        <v>2752</v>
      </c>
    </row>
    <row r="204" spans="1:5" x14ac:dyDescent="0.25">
      <c r="A204" t="s">
        <v>2751</v>
      </c>
      <c r="B204">
        <v>-8.1705431999999991</v>
      </c>
      <c r="C204">
        <v>114.386325</v>
      </c>
      <c r="D204" t="s">
        <v>1218</v>
      </c>
      <c r="E204" t="s">
        <v>2750</v>
      </c>
    </row>
    <row r="205" spans="1:5" x14ac:dyDescent="0.25">
      <c r="A205" t="s">
        <v>2749</v>
      </c>
      <c r="B205">
        <v>-7.2494377999999999</v>
      </c>
      <c r="C205">
        <v>112.7458197</v>
      </c>
      <c r="D205" t="s">
        <v>1224</v>
      </c>
      <c r="E205" t="s">
        <v>2748</v>
      </c>
    </row>
    <row r="206" spans="1:5" x14ac:dyDescent="0.25">
      <c r="A206" t="s">
        <v>2747</v>
      </c>
      <c r="B206">
        <v>-7.4116964999999997</v>
      </c>
      <c r="C206">
        <v>112.57350630000001</v>
      </c>
      <c r="D206" t="s">
        <v>1230</v>
      </c>
      <c r="E206" t="s">
        <v>2746</v>
      </c>
    </row>
    <row r="207" spans="1:5" x14ac:dyDescent="0.25">
      <c r="A207" t="s">
        <v>2745</v>
      </c>
      <c r="B207">
        <v>-7.6480535999999999</v>
      </c>
      <c r="C207">
        <v>111.3271055</v>
      </c>
      <c r="D207" t="s">
        <v>1236</v>
      </c>
      <c r="E207" t="s">
        <v>2744</v>
      </c>
    </row>
    <row r="208" spans="1:5" x14ac:dyDescent="0.25">
      <c r="A208" t="s">
        <v>2743</v>
      </c>
      <c r="B208">
        <v>-7.2530165999999996</v>
      </c>
      <c r="C208">
        <v>112.7446078</v>
      </c>
      <c r="D208" t="s">
        <v>1242</v>
      </c>
      <c r="E208" t="s">
        <v>2742</v>
      </c>
    </row>
    <row r="209" spans="1:5" x14ac:dyDescent="0.25">
      <c r="A209" t="s">
        <v>2741</v>
      </c>
      <c r="B209">
        <v>-7.4426093</v>
      </c>
      <c r="C209">
        <v>112.68734790000001</v>
      </c>
      <c r="D209" t="s">
        <v>1248</v>
      </c>
      <c r="E209" t="s">
        <v>2740</v>
      </c>
    </row>
    <row r="210" spans="1:5" x14ac:dyDescent="0.25">
      <c r="A210" t="s">
        <v>2739</v>
      </c>
      <c r="B210">
        <v>-7.2432081000000004</v>
      </c>
      <c r="C210">
        <v>112.7522467</v>
      </c>
      <c r="D210" t="s">
        <v>1254</v>
      </c>
      <c r="E210" t="s">
        <v>2738</v>
      </c>
    </row>
    <row r="211" spans="1:5" x14ac:dyDescent="0.25">
      <c r="A211" t="s">
        <v>2737</v>
      </c>
      <c r="B211">
        <v>-7.8596560000000002</v>
      </c>
      <c r="C211">
        <v>112.68799919999999</v>
      </c>
      <c r="D211" t="s">
        <v>1259</v>
      </c>
      <c r="E211" t="s">
        <v>2736</v>
      </c>
    </row>
    <row r="212" spans="1:5" x14ac:dyDescent="0.25">
      <c r="A212" t="s">
        <v>2735</v>
      </c>
      <c r="B212">
        <v>-7.9893748000000002</v>
      </c>
      <c r="C212">
        <v>112.6220612</v>
      </c>
      <c r="D212" t="s">
        <v>1266</v>
      </c>
      <c r="E212" t="s">
        <v>2734</v>
      </c>
    </row>
    <row r="213" spans="1:5" x14ac:dyDescent="0.25">
      <c r="A213" t="s">
        <v>2733</v>
      </c>
      <c r="B213">
        <v>-7.5550918999999999</v>
      </c>
      <c r="C213">
        <v>112.235474</v>
      </c>
      <c r="D213" t="s">
        <v>1272</v>
      </c>
      <c r="E213" t="s">
        <v>2732</v>
      </c>
    </row>
    <row r="214" spans="1:5" x14ac:dyDescent="0.25">
      <c r="A214" t="s">
        <v>2731</v>
      </c>
      <c r="B214">
        <v>-7.3238506000000001</v>
      </c>
      <c r="C214">
        <v>112.7754391</v>
      </c>
      <c r="D214" t="s">
        <v>1279</v>
      </c>
      <c r="E214" t="s">
        <v>2730</v>
      </c>
    </row>
    <row r="215" spans="1:5" x14ac:dyDescent="0.25">
      <c r="A215" t="s">
        <v>2729</v>
      </c>
      <c r="B215">
        <v>-7.9452919</v>
      </c>
      <c r="C215">
        <v>112.61852450000001</v>
      </c>
      <c r="D215" t="s">
        <v>1285</v>
      </c>
      <c r="E215" t="s">
        <v>2728</v>
      </c>
    </row>
    <row r="216" spans="1:5" x14ac:dyDescent="0.25">
      <c r="A216" t="s">
        <v>2727</v>
      </c>
      <c r="B216">
        <v>-7.8711567000000002</v>
      </c>
      <c r="C216">
        <v>111.4839937</v>
      </c>
      <c r="D216" t="s">
        <v>1291</v>
      </c>
      <c r="E216" t="s">
        <v>2726</v>
      </c>
    </row>
    <row r="217" spans="1:5" x14ac:dyDescent="0.25">
      <c r="A217" t="s">
        <v>2725</v>
      </c>
      <c r="B217">
        <v>-7.9830147</v>
      </c>
      <c r="C217">
        <v>112.6369504</v>
      </c>
      <c r="D217" t="s">
        <v>1298</v>
      </c>
      <c r="E217" t="s">
        <v>2724</v>
      </c>
    </row>
    <row r="218" spans="1:5" x14ac:dyDescent="0.25">
      <c r="A218" t="s">
        <v>2723</v>
      </c>
      <c r="B218">
        <v>-7.3199969999999999</v>
      </c>
      <c r="C218">
        <v>112.748316</v>
      </c>
      <c r="D218" t="s">
        <v>1304</v>
      </c>
      <c r="E218" t="s">
        <v>2722</v>
      </c>
    </row>
    <row r="219" spans="1:5" x14ac:dyDescent="0.25">
      <c r="A219" t="s">
        <v>2721</v>
      </c>
      <c r="B219">
        <v>-7.6289552</v>
      </c>
      <c r="C219">
        <v>111.51116450000001</v>
      </c>
      <c r="D219" t="s">
        <v>1309</v>
      </c>
      <c r="E219" t="s">
        <v>2720</v>
      </c>
    </row>
    <row r="220" spans="1:5" x14ac:dyDescent="0.25">
      <c r="A220" t="s">
        <v>2719</v>
      </c>
      <c r="B220">
        <v>-7.1739236000000002</v>
      </c>
      <c r="C220">
        <v>112.65211960000001</v>
      </c>
      <c r="D220" t="s">
        <v>1315</v>
      </c>
      <c r="E220" t="s">
        <v>2718</v>
      </c>
    </row>
    <row r="221" spans="1:5" x14ac:dyDescent="0.25">
      <c r="A221" t="s">
        <v>2717</v>
      </c>
      <c r="B221">
        <v>-7.2452747999999998</v>
      </c>
      <c r="C221">
        <v>112.68071519999999</v>
      </c>
      <c r="D221" t="s">
        <v>1322</v>
      </c>
      <c r="E221" t="s">
        <v>2716</v>
      </c>
    </row>
    <row r="222" spans="1:5" x14ac:dyDescent="0.25">
      <c r="A222" t="s">
        <v>2715</v>
      </c>
      <c r="B222">
        <v>-8.0559320000000003</v>
      </c>
      <c r="C222">
        <v>111.9054946</v>
      </c>
      <c r="D222" t="s">
        <v>1327</v>
      </c>
      <c r="E222" t="s">
        <v>2714</v>
      </c>
    </row>
    <row r="223" spans="1:5" x14ac:dyDescent="0.25">
      <c r="A223" t="s">
        <v>2713</v>
      </c>
      <c r="B223">
        <v>-7.2666351000000002</v>
      </c>
      <c r="C223">
        <v>112.76756330000001</v>
      </c>
      <c r="D223" t="s">
        <v>1334</v>
      </c>
      <c r="E223" t="s">
        <v>2712</v>
      </c>
    </row>
    <row r="224" spans="1:5" x14ac:dyDescent="0.25">
      <c r="A224" t="s">
        <v>2711</v>
      </c>
      <c r="B224">
        <v>-7.2478825000000002</v>
      </c>
      <c r="C224">
        <v>112.7473451</v>
      </c>
      <c r="D224" t="s">
        <v>1339</v>
      </c>
      <c r="E224" t="s">
        <v>2710</v>
      </c>
    </row>
    <row r="225" spans="1:5" x14ac:dyDescent="0.25">
      <c r="A225" t="s">
        <v>2709</v>
      </c>
      <c r="B225">
        <v>-8.1116770000000002</v>
      </c>
      <c r="C225">
        <v>112.173089</v>
      </c>
      <c r="D225" t="s">
        <v>1344</v>
      </c>
      <c r="E225" t="s">
        <v>2708</v>
      </c>
    </row>
    <row r="226" spans="1:5" x14ac:dyDescent="0.25">
      <c r="A226" t="s">
        <v>2707</v>
      </c>
      <c r="B226">
        <v>-7.4637460000000004</v>
      </c>
      <c r="C226">
        <v>112.70326710000001</v>
      </c>
      <c r="D226" t="s">
        <v>1350</v>
      </c>
      <c r="E226" t="s">
        <v>2706</v>
      </c>
    </row>
    <row r="227" spans="1:5" x14ac:dyDescent="0.25">
      <c r="A227" t="s">
        <v>2705</v>
      </c>
      <c r="B227">
        <v>-7.7328194000000003</v>
      </c>
      <c r="C227">
        <v>113.69821020000001</v>
      </c>
      <c r="D227" t="s">
        <v>1356</v>
      </c>
      <c r="E227" t="s">
        <v>2704</v>
      </c>
    </row>
    <row r="228" spans="1:5" x14ac:dyDescent="0.25">
      <c r="A228" t="s">
        <v>2703</v>
      </c>
      <c r="B228">
        <v>-7.5324909</v>
      </c>
      <c r="C228">
        <v>112.24652140000001</v>
      </c>
      <c r="D228" t="s">
        <v>1363</v>
      </c>
      <c r="E228" t="s">
        <v>2702</v>
      </c>
    </row>
    <row r="229" spans="1:5" x14ac:dyDescent="0.25">
      <c r="A229" t="s">
        <v>2701</v>
      </c>
      <c r="B229">
        <v>-7.3994749999999998</v>
      </c>
      <c r="C229">
        <v>112.57743000000001</v>
      </c>
      <c r="D229" t="s">
        <v>1369</v>
      </c>
      <c r="E229" t="s">
        <v>2700</v>
      </c>
    </row>
    <row r="230" spans="1:5" x14ac:dyDescent="0.25">
      <c r="A230" t="s">
        <v>2699</v>
      </c>
      <c r="B230">
        <v>-7.2377720999999999</v>
      </c>
      <c r="C230">
        <v>112.74650560000001</v>
      </c>
      <c r="D230" t="s">
        <v>1375</v>
      </c>
      <c r="E230" t="s">
        <v>2698</v>
      </c>
    </row>
    <row r="231" spans="1:5" x14ac:dyDescent="0.25">
      <c r="A231" t="s">
        <v>2697</v>
      </c>
      <c r="B231">
        <v>-7.2463831000000001</v>
      </c>
      <c r="C231">
        <v>112.747846</v>
      </c>
      <c r="D231" t="s">
        <v>1381</v>
      </c>
      <c r="E231" t="s">
        <v>2696</v>
      </c>
    </row>
    <row r="232" spans="1:5" x14ac:dyDescent="0.25">
      <c r="A232" t="s">
        <v>2695</v>
      </c>
      <c r="B232">
        <v>-8.1841281000000006</v>
      </c>
      <c r="C232">
        <v>113.66786020000001</v>
      </c>
      <c r="D232" t="s">
        <v>1386</v>
      </c>
      <c r="E232" t="s">
        <v>2694</v>
      </c>
    </row>
    <row r="233" spans="1:5" x14ac:dyDescent="0.25">
      <c r="A233" t="s">
        <v>2693</v>
      </c>
      <c r="B233">
        <v>-7.3314050000000002</v>
      </c>
      <c r="C233">
        <v>112.779545</v>
      </c>
      <c r="D233" t="s">
        <v>1392</v>
      </c>
      <c r="E233" t="s">
        <v>2692</v>
      </c>
    </row>
    <row r="234" spans="1:5" x14ac:dyDescent="0.25">
      <c r="A234" t="s">
        <v>2691</v>
      </c>
      <c r="B234">
        <v>-7.1649105999999998</v>
      </c>
      <c r="C234">
        <v>112.6371991</v>
      </c>
      <c r="D234" t="s">
        <v>1398</v>
      </c>
      <c r="E234" t="s">
        <v>2690</v>
      </c>
    </row>
    <row r="235" spans="1:5" x14ac:dyDescent="0.25">
      <c r="A235" t="s">
        <v>2689</v>
      </c>
      <c r="B235">
        <v>-7.4661580000000001</v>
      </c>
      <c r="C235">
        <v>112.43519999999999</v>
      </c>
      <c r="D235" t="s">
        <v>2687</v>
      </c>
      <c r="E235" t="s">
        <v>2688</v>
      </c>
    </row>
    <row r="236" spans="1:5" x14ac:dyDescent="0.25">
      <c r="A236" t="s">
        <v>2686</v>
      </c>
      <c r="B236">
        <v>-7.8293908999999999</v>
      </c>
      <c r="C236">
        <v>112.02305610000001</v>
      </c>
      <c r="D236" t="s">
        <v>1404</v>
      </c>
      <c r="E236" t="s">
        <v>2685</v>
      </c>
    </row>
    <row r="237" spans="1:5" x14ac:dyDescent="0.25">
      <c r="A237" t="s">
        <v>2684</v>
      </c>
      <c r="B237">
        <v>-7.7005337999999997</v>
      </c>
      <c r="C237">
        <v>114.02267999999999</v>
      </c>
      <c r="D237" t="s">
        <v>1411</v>
      </c>
      <c r="E237" t="s">
        <v>2683</v>
      </c>
    </row>
    <row r="238" spans="1:5" x14ac:dyDescent="0.25">
      <c r="A238" t="s">
        <v>2682</v>
      </c>
      <c r="B238">
        <v>-7.2378302999999997</v>
      </c>
      <c r="C238">
        <v>112.7357056</v>
      </c>
      <c r="D238" t="s">
        <v>1417</v>
      </c>
      <c r="E238" t="s">
        <v>2681</v>
      </c>
    </row>
    <row r="239" spans="1:5" x14ac:dyDescent="0.25">
      <c r="A239" t="s">
        <v>2680</v>
      </c>
      <c r="B239">
        <v>-8.1109790999999998</v>
      </c>
      <c r="C239">
        <v>113.2198279</v>
      </c>
      <c r="D239" t="s">
        <v>1423</v>
      </c>
      <c r="E239" t="s">
        <v>2679</v>
      </c>
    </row>
    <row r="240" spans="1:5" x14ac:dyDescent="0.25">
      <c r="A240" t="s">
        <v>2678</v>
      </c>
      <c r="B240">
        <v>-7.4921600000000002</v>
      </c>
      <c r="C240">
        <v>112.448206</v>
      </c>
      <c r="D240" t="s">
        <v>1430</v>
      </c>
      <c r="E240" t="s">
        <v>2677</v>
      </c>
    </row>
    <row r="241" spans="1:5" x14ac:dyDescent="0.25">
      <c r="A241" t="s">
        <v>2676</v>
      </c>
      <c r="B241">
        <v>-7.2993908999999997</v>
      </c>
      <c r="C241">
        <v>112.7594984</v>
      </c>
      <c r="D241" t="s">
        <v>1437</v>
      </c>
      <c r="E241" t="s">
        <v>2675</v>
      </c>
    </row>
    <row r="242" spans="1:5" x14ac:dyDescent="0.25">
      <c r="A242" t="s">
        <v>2674</v>
      </c>
      <c r="B242">
        <v>-7.3523338999999996</v>
      </c>
      <c r="C242">
        <v>112.6987445</v>
      </c>
      <c r="D242" t="s">
        <v>1443</v>
      </c>
      <c r="E242" t="s">
        <v>2673</v>
      </c>
    </row>
    <row r="243" spans="1:5" x14ac:dyDescent="0.25">
      <c r="A243" t="s">
        <v>2672</v>
      </c>
      <c r="B243">
        <v>-7.7962883999999999</v>
      </c>
      <c r="C243">
        <v>112.0024995</v>
      </c>
      <c r="D243" t="s">
        <v>1449</v>
      </c>
      <c r="E243" t="s">
        <v>2671</v>
      </c>
    </row>
    <row r="244" spans="1:5" x14ac:dyDescent="0.25">
      <c r="A244" t="s">
        <v>2670</v>
      </c>
      <c r="B244">
        <v>-7.5998473000000004</v>
      </c>
      <c r="C244">
        <v>111.9139234</v>
      </c>
      <c r="D244" t="s">
        <v>1455</v>
      </c>
      <c r="E244" t="s">
        <v>2669</v>
      </c>
    </row>
    <row r="245" spans="1:5" x14ac:dyDescent="0.25">
      <c r="A245" t="s">
        <v>2668</v>
      </c>
      <c r="B245">
        <v>-7.4490829999999999</v>
      </c>
      <c r="C245">
        <v>112.721673</v>
      </c>
      <c r="D245" t="s">
        <v>1461</v>
      </c>
      <c r="E245" t="s">
        <v>2667</v>
      </c>
    </row>
    <row r="246" spans="1:5" x14ac:dyDescent="0.25">
      <c r="A246" t="s">
        <v>2666</v>
      </c>
      <c r="B246">
        <v>-5.54575E-2</v>
      </c>
      <c r="C246">
        <v>109.3114286</v>
      </c>
      <c r="D246" t="s">
        <v>1470</v>
      </c>
      <c r="E246" t="s">
        <v>2665</v>
      </c>
    </row>
    <row r="247" spans="1:5" x14ac:dyDescent="0.25">
      <c r="A247" t="s">
        <v>2664</v>
      </c>
      <c r="B247">
        <v>-4.6418000000000001E-2</v>
      </c>
      <c r="C247">
        <v>109.354406</v>
      </c>
      <c r="D247" t="s">
        <v>1479</v>
      </c>
      <c r="E247" t="s">
        <v>2663</v>
      </c>
    </row>
    <row r="248" spans="1:5" x14ac:dyDescent="0.25">
      <c r="A248" t="s">
        <v>2662</v>
      </c>
      <c r="B248">
        <v>6.4000899999999999E-2</v>
      </c>
      <c r="C248">
        <v>111.4869951</v>
      </c>
      <c r="D248" t="s">
        <v>1485</v>
      </c>
      <c r="E248" t="s">
        <v>2661</v>
      </c>
    </row>
    <row r="249" spans="1:5" x14ac:dyDescent="0.25">
      <c r="A249" t="s">
        <v>2660</v>
      </c>
      <c r="B249">
        <v>-2.4504999999999999E-2</v>
      </c>
      <c r="C249">
        <v>109.326167</v>
      </c>
      <c r="D249" t="s">
        <v>1491</v>
      </c>
      <c r="E249" t="s">
        <v>2659</v>
      </c>
    </row>
    <row r="250" spans="1:5" x14ac:dyDescent="0.25">
      <c r="A250" t="s">
        <v>2658</v>
      </c>
      <c r="B250">
        <v>-6.0787000000000001E-2</v>
      </c>
      <c r="C250">
        <v>109.3843864</v>
      </c>
      <c r="D250" t="s">
        <v>1496</v>
      </c>
      <c r="E250" t="s">
        <v>2657</v>
      </c>
    </row>
    <row r="251" spans="1:5" x14ac:dyDescent="0.25">
      <c r="A251" t="s">
        <v>2413</v>
      </c>
      <c r="B251">
        <v>0.89536879999999996</v>
      </c>
      <c r="C251">
        <v>108.9806945</v>
      </c>
      <c r="D251" t="s">
        <v>2411</v>
      </c>
      <c r="E251" t="s">
        <v>2412</v>
      </c>
    </row>
    <row r="252" spans="1:5" x14ac:dyDescent="0.25">
      <c r="A252" t="s">
        <v>2656</v>
      </c>
      <c r="B252">
        <v>-3.3661699999999999</v>
      </c>
      <c r="C252">
        <v>114.63933299999999</v>
      </c>
      <c r="D252" t="s">
        <v>1507</v>
      </c>
      <c r="E252" t="s">
        <v>2655</v>
      </c>
    </row>
    <row r="253" spans="1:5" x14ac:dyDescent="0.25">
      <c r="A253" t="s">
        <v>2470</v>
      </c>
      <c r="B253">
        <v>-3.3609277</v>
      </c>
      <c r="C253">
        <v>114.6345003</v>
      </c>
      <c r="D253" t="s">
        <v>1515</v>
      </c>
      <c r="E253" t="s">
        <v>2654</v>
      </c>
    </row>
    <row r="254" spans="1:5" x14ac:dyDescent="0.25">
      <c r="A254" t="s">
        <v>2424</v>
      </c>
      <c r="B254">
        <v>-3.324417</v>
      </c>
      <c r="C254">
        <v>114.617529</v>
      </c>
      <c r="D254" t="s">
        <v>1521</v>
      </c>
      <c r="E254" t="s">
        <v>2423</v>
      </c>
    </row>
    <row r="255" spans="1:5" x14ac:dyDescent="0.25">
      <c r="A255" t="s">
        <v>2653</v>
      </c>
      <c r="B255">
        <v>-2.5366377999999998</v>
      </c>
      <c r="C255">
        <v>112.9417933</v>
      </c>
      <c r="D255" t="s">
        <v>1525</v>
      </c>
      <c r="E255" t="s">
        <v>2652</v>
      </c>
    </row>
    <row r="256" spans="1:5" x14ac:dyDescent="0.25">
      <c r="A256" t="s">
        <v>2369</v>
      </c>
      <c r="B256">
        <v>-2.2738974000000001</v>
      </c>
      <c r="C256">
        <v>113.92658280000001</v>
      </c>
      <c r="D256" t="s">
        <v>1533</v>
      </c>
      <c r="E256" t="s">
        <v>2368</v>
      </c>
    </row>
    <row r="257" spans="1:5" x14ac:dyDescent="0.25">
      <c r="A257" t="s">
        <v>2651</v>
      </c>
      <c r="B257">
        <v>-2.2483420000000001</v>
      </c>
      <c r="C257">
        <v>113.9199789</v>
      </c>
      <c r="D257" t="s">
        <v>1540</v>
      </c>
      <c r="E257" t="s">
        <v>2650</v>
      </c>
    </row>
    <row r="258" spans="1:5" x14ac:dyDescent="0.25">
      <c r="A258" t="s">
        <v>2647</v>
      </c>
      <c r="B258">
        <v>-0.49986799999999998</v>
      </c>
      <c r="C258">
        <v>117.14412900000001</v>
      </c>
      <c r="D258" t="s">
        <v>1545</v>
      </c>
      <c r="E258" t="s">
        <v>2646</v>
      </c>
    </row>
    <row r="259" spans="1:5" x14ac:dyDescent="0.25">
      <c r="A259" t="s">
        <v>2645</v>
      </c>
      <c r="B259">
        <v>0.13171079999999999</v>
      </c>
      <c r="C259">
        <v>117.4871184</v>
      </c>
      <c r="D259" t="s">
        <v>1553</v>
      </c>
      <c r="E259" t="s">
        <v>2644</v>
      </c>
    </row>
    <row r="260" spans="1:5" x14ac:dyDescent="0.25">
      <c r="A260" t="s">
        <v>2643</v>
      </c>
      <c r="B260">
        <v>0.496776</v>
      </c>
      <c r="C260">
        <v>117.528063</v>
      </c>
      <c r="D260" t="s">
        <v>1559</v>
      </c>
      <c r="E260" t="s">
        <v>2642</v>
      </c>
    </row>
    <row r="261" spans="1:5" x14ac:dyDescent="0.25">
      <c r="A261" t="s">
        <v>2641</v>
      </c>
      <c r="B261">
        <v>-1.2244029000000001</v>
      </c>
      <c r="C261">
        <v>116.9635218</v>
      </c>
      <c r="D261" t="s">
        <v>1565</v>
      </c>
      <c r="E261" t="s">
        <v>2640</v>
      </c>
    </row>
    <row r="262" spans="1:5" x14ac:dyDescent="0.25">
      <c r="A262" t="s">
        <v>2639</v>
      </c>
      <c r="B262">
        <v>-1.2744139999999999</v>
      </c>
      <c r="C262">
        <v>116.846317</v>
      </c>
      <c r="D262" t="s">
        <v>1571</v>
      </c>
      <c r="E262" t="s">
        <v>2638</v>
      </c>
    </row>
    <row r="263" spans="1:5" x14ac:dyDescent="0.25">
      <c r="A263" t="s">
        <v>2637</v>
      </c>
      <c r="B263">
        <v>-0.50009890000000001</v>
      </c>
      <c r="C263">
        <v>117.1526406</v>
      </c>
      <c r="D263" t="s">
        <v>1576</v>
      </c>
      <c r="E263" t="s">
        <v>2636</v>
      </c>
    </row>
    <row r="264" spans="1:5" x14ac:dyDescent="0.25">
      <c r="A264" t="s">
        <v>1584</v>
      </c>
      <c r="B264">
        <v>0.12545049999999999</v>
      </c>
      <c r="C264">
        <v>117.4855477</v>
      </c>
      <c r="D264" t="s">
        <v>1582</v>
      </c>
      <c r="E264" t="s">
        <v>2380</v>
      </c>
    </row>
    <row r="265" spans="1:5" x14ac:dyDescent="0.25">
      <c r="A265" t="s">
        <v>2649</v>
      </c>
      <c r="B265">
        <v>2.8550996999999998</v>
      </c>
      <c r="C265">
        <v>117.36832440000001</v>
      </c>
      <c r="D265" t="s">
        <v>1586</v>
      </c>
      <c r="E265" t="s">
        <v>2648</v>
      </c>
    </row>
    <row r="266" spans="1:5" x14ac:dyDescent="0.25">
      <c r="A266" t="s">
        <v>2635</v>
      </c>
      <c r="B266">
        <v>-5.4472420000000001</v>
      </c>
      <c r="C266">
        <v>105.270186</v>
      </c>
      <c r="D266" t="s">
        <v>1594</v>
      </c>
      <c r="E266" t="s">
        <v>2634</v>
      </c>
    </row>
    <row r="267" spans="1:5" x14ac:dyDescent="0.25">
      <c r="A267" t="s">
        <v>2379</v>
      </c>
      <c r="B267">
        <v>-5.3705838000000004</v>
      </c>
      <c r="C267">
        <v>105.051941</v>
      </c>
      <c r="D267" t="s">
        <v>1602</v>
      </c>
      <c r="E267" t="s">
        <v>2378</v>
      </c>
    </row>
    <row r="268" spans="1:5" x14ac:dyDescent="0.25">
      <c r="A268" t="s">
        <v>1609</v>
      </c>
      <c r="B268">
        <v>-4.2790403000000001</v>
      </c>
      <c r="C268">
        <v>105.2219916</v>
      </c>
      <c r="D268" t="s">
        <v>1607</v>
      </c>
      <c r="E268" t="s">
        <v>2381</v>
      </c>
    </row>
    <row r="269" spans="1:5" x14ac:dyDescent="0.25">
      <c r="A269" t="s">
        <v>2633</v>
      </c>
      <c r="B269">
        <v>-1.4537806</v>
      </c>
      <c r="C269">
        <v>102.12367589999999</v>
      </c>
      <c r="D269" t="s">
        <v>1616</v>
      </c>
      <c r="E269" t="s">
        <v>2632</v>
      </c>
    </row>
    <row r="270" spans="1:5" x14ac:dyDescent="0.25">
      <c r="A270" t="s">
        <v>2371</v>
      </c>
      <c r="B270">
        <v>-1.4950257</v>
      </c>
      <c r="C270">
        <v>102.11021049999999</v>
      </c>
      <c r="D270" t="s">
        <v>1623</v>
      </c>
      <c r="E270" t="s">
        <v>2370</v>
      </c>
    </row>
    <row r="271" spans="1:5" x14ac:dyDescent="0.25">
      <c r="A271" t="s">
        <v>2631</v>
      </c>
      <c r="B271">
        <v>-1.4916297000000001</v>
      </c>
      <c r="C271">
        <v>102.1346874</v>
      </c>
      <c r="D271" t="s">
        <v>2629</v>
      </c>
      <c r="E271" t="s">
        <v>2630</v>
      </c>
    </row>
    <row r="272" spans="1:5" x14ac:dyDescent="0.25">
      <c r="A272" t="s">
        <v>2393</v>
      </c>
      <c r="B272">
        <v>-8.5875801999999997</v>
      </c>
      <c r="C272">
        <v>116.1377689</v>
      </c>
      <c r="D272" t="s">
        <v>169</v>
      </c>
      <c r="E272" t="s">
        <v>2392</v>
      </c>
    </row>
    <row r="273" spans="1:5" x14ac:dyDescent="0.25">
      <c r="A273" t="s">
        <v>2628</v>
      </c>
      <c r="B273">
        <v>-8.4516682000000003</v>
      </c>
      <c r="C273">
        <v>118.724625</v>
      </c>
      <c r="D273" t="s">
        <v>178</v>
      </c>
      <c r="E273" t="s">
        <v>2627</v>
      </c>
    </row>
    <row r="274" spans="1:5" x14ac:dyDescent="0.25">
      <c r="A274" t="s">
        <v>2626</v>
      </c>
      <c r="B274">
        <v>-8.5968941000000001</v>
      </c>
      <c r="C274">
        <v>116.1478257</v>
      </c>
      <c r="D274" t="s">
        <v>185</v>
      </c>
      <c r="E274" t="s">
        <v>2625</v>
      </c>
    </row>
    <row r="275" spans="1:5" x14ac:dyDescent="0.25">
      <c r="A275" t="s">
        <v>2624</v>
      </c>
      <c r="B275">
        <v>-10.166894900000001</v>
      </c>
      <c r="C275">
        <v>123.62937959999999</v>
      </c>
      <c r="D275" t="s">
        <v>190</v>
      </c>
      <c r="E275" t="s">
        <v>2623</v>
      </c>
    </row>
    <row r="276" spans="1:5" x14ac:dyDescent="0.25">
      <c r="A276" t="s">
        <v>2622</v>
      </c>
      <c r="B276">
        <v>-10.1494211</v>
      </c>
      <c r="C276">
        <v>123.6403339</v>
      </c>
      <c r="D276" t="s">
        <v>199</v>
      </c>
      <c r="E276" t="s">
        <v>2621</v>
      </c>
    </row>
    <row r="277" spans="1:5" x14ac:dyDescent="0.25">
      <c r="A277" t="s">
        <v>2620</v>
      </c>
      <c r="B277">
        <v>-3.3828285</v>
      </c>
      <c r="C277">
        <v>135.50340170000001</v>
      </c>
      <c r="D277" t="s">
        <v>212</v>
      </c>
      <c r="E277" t="s">
        <v>2619</v>
      </c>
    </row>
    <row r="278" spans="1:5" x14ac:dyDescent="0.25">
      <c r="A278" t="s">
        <v>2416</v>
      </c>
      <c r="B278">
        <v>-0.89009579999999999</v>
      </c>
      <c r="C278">
        <v>131.29598229999999</v>
      </c>
      <c r="D278" t="s">
        <v>220</v>
      </c>
      <c r="E278" t="s">
        <v>2415</v>
      </c>
    </row>
    <row r="279" spans="1:5" x14ac:dyDescent="0.25">
      <c r="A279" t="s">
        <v>2618</v>
      </c>
      <c r="B279">
        <v>1.2690151000000001</v>
      </c>
      <c r="C279">
        <v>101.18989910000001</v>
      </c>
      <c r="D279" t="s">
        <v>1637</v>
      </c>
      <c r="E279" t="s">
        <v>2617</v>
      </c>
    </row>
    <row r="280" spans="1:5" x14ac:dyDescent="0.25">
      <c r="A280" t="s">
        <v>2616</v>
      </c>
      <c r="B280">
        <v>0.4941489</v>
      </c>
      <c r="C280">
        <v>101.4852705</v>
      </c>
      <c r="D280" t="s">
        <v>1644</v>
      </c>
      <c r="E280" t="s">
        <v>2615</v>
      </c>
    </row>
    <row r="281" spans="1:5" x14ac:dyDescent="0.25">
      <c r="A281" t="s">
        <v>2614</v>
      </c>
      <c r="B281">
        <v>0.47024660000000001</v>
      </c>
      <c r="C281">
        <v>101.41864219999999</v>
      </c>
      <c r="D281" t="s">
        <v>1650</v>
      </c>
      <c r="E281" t="s">
        <v>2613</v>
      </c>
    </row>
    <row r="282" spans="1:5" x14ac:dyDescent="0.25">
      <c r="A282" t="s">
        <v>2612</v>
      </c>
      <c r="B282">
        <v>0.39484259999999999</v>
      </c>
      <c r="C282">
        <v>101.85788049999999</v>
      </c>
      <c r="D282" t="s">
        <v>1655</v>
      </c>
      <c r="E282" t="s">
        <v>2611</v>
      </c>
    </row>
    <row r="283" spans="1:5" x14ac:dyDescent="0.25">
      <c r="A283" t="s">
        <v>2610</v>
      </c>
      <c r="B283">
        <v>0.50502630000000004</v>
      </c>
      <c r="C283">
        <v>101.4344704</v>
      </c>
      <c r="D283" t="s">
        <v>1661</v>
      </c>
      <c r="E283" t="s">
        <v>2609</v>
      </c>
    </row>
    <row r="284" spans="1:5" x14ac:dyDescent="0.25">
      <c r="A284" t="s">
        <v>2608</v>
      </c>
      <c r="B284">
        <v>0.51541879999999995</v>
      </c>
      <c r="C284">
        <v>101.4378585</v>
      </c>
      <c r="D284" t="s">
        <v>1667</v>
      </c>
      <c r="E284" t="s">
        <v>2607</v>
      </c>
    </row>
    <row r="285" spans="1:5" x14ac:dyDescent="0.25">
      <c r="A285" t="s">
        <v>2606</v>
      </c>
      <c r="B285">
        <v>1.707978</v>
      </c>
      <c r="C285">
        <v>100.3994354</v>
      </c>
      <c r="D285" t="s">
        <v>1672</v>
      </c>
      <c r="E285" t="s">
        <v>2605</v>
      </c>
    </row>
    <row r="286" spans="1:5" x14ac:dyDescent="0.25">
      <c r="A286" t="s">
        <v>2604</v>
      </c>
      <c r="B286">
        <v>0.50126300000000001</v>
      </c>
      <c r="C286">
        <v>101.4233552</v>
      </c>
      <c r="D286" t="s">
        <v>1678</v>
      </c>
      <c r="E286" t="s">
        <v>2603</v>
      </c>
    </row>
    <row r="287" spans="1:5" x14ac:dyDescent="0.25">
      <c r="A287" t="s">
        <v>2602</v>
      </c>
      <c r="B287">
        <v>0.49651040000000002</v>
      </c>
      <c r="C287">
        <v>101.4197303</v>
      </c>
      <c r="D287" t="s">
        <v>1683</v>
      </c>
      <c r="E287" t="s">
        <v>2601</v>
      </c>
    </row>
    <row r="288" spans="1:5" x14ac:dyDescent="0.25">
      <c r="A288" t="s">
        <v>2600</v>
      </c>
      <c r="B288">
        <v>0.49538789999999999</v>
      </c>
      <c r="C288">
        <v>101.41857469999999</v>
      </c>
      <c r="D288" t="s">
        <v>1689</v>
      </c>
      <c r="E288" t="s">
        <v>2599</v>
      </c>
    </row>
    <row r="289" spans="1:5" x14ac:dyDescent="0.25">
      <c r="A289" t="s">
        <v>2598</v>
      </c>
      <c r="B289">
        <v>1.2774920000000001</v>
      </c>
      <c r="C289">
        <v>101.19657119999999</v>
      </c>
      <c r="D289" t="s">
        <v>1689</v>
      </c>
      <c r="E289" s="18" t="s">
        <v>2597</v>
      </c>
    </row>
    <row r="290" spans="1:5" x14ac:dyDescent="0.25">
      <c r="A290" t="s">
        <v>2596</v>
      </c>
      <c r="B290">
        <v>1.6743863999999999</v>
      </c>
      <c r="C290">
        <v>101.4379187</v>
      </c>
      <c r="D290" t="s">
        <v>1700</v>
      </c>
      <c r="E290" t="s">
        <v>2595</v>
      </c>
    </row>
    <row r="291" spans="1:5" x14ac:dyDescent="0.25">
      <c r="A291" t="s">
        <v>2594</v>
      </c>
      <c r="B291">
        <v>0.46375670000000002</v>
      </c>
      <c r="C291">
        <v>101.3974134</v>
      </c>
      <c r="D291" t="s">
        <v>1707</v>
      </c>
      <c r="E291" t="s">
        <v>2593</v>
      </c>
    </row>
    <row r="292" spans="1:5" x14ac:dyDescent="0.25">
      <c r="A292" t="s">
        <v>2592</v>
      </c>
      <c r="B292">
        <v>0.47144900000000001</v>
      </c>
      <c r="C292">
        <v>101.394696</v>
      </c>
      <c r="D292" t="s">
        <v>1712</v>
      </c>
      <c r="E292" t="s">
        <v>2591</v>
      </c>
    </row>
    <row r="293" spans="1:5" x14ac:dyDescent="0.25">
      <c r="A293" t="s">
        <v>2590</v>
      </c>
      <c r="B293">
        <v>0.53488769999999997</v>
      </c>
      <c r="C293">
        <v>101.4241682</v>
      </c>
      <c r="D293" t="s">
        <v>1718</v>
      </c>
      <c r="E293" t="s">
        <v>2589</v>
      </c>
    </row>
    <row r="294" spans="1:5" x14ac:dyDescent="0.25">
      <c r="A294" t="s">
        <v>2588</v>
      </c>
      <c r="B294">
        <v>1.6813051000000001</v>
      </c>
      <c r="C294">
        <v>101.4464959</v>
      </c>
      <c r="D294" t="s">
        <v>1723</v>
      </c>
      <c r="E294" t="s">
        <v>2587</v>
      </c>
    </row>
    <row r="295" spans="1:5" x14ac:dyDescent="0.25">
      <c r="A295" t="s">
        <v>2403</v>
      </c>
      <c r="B295">
        <v>1.2741785000000001</v>
      </c>
      <c r="C295">
        <v>101.18354170000001</v>
      </c>
      <c r="D295" t="s">
        <v>1728</v>
      </c>
      <c r="E295" t="s">
        <v>2402</v>
      </c>
    </row>
    <row r="296" spans="1:5" x14ac:dyDescent="0.25">
      <c r="A296" t="s">
        <v>2586</v>
      </c>
      <c r="B296">
        <v>-5.1215434999999996</v>
      </c>
      <c r="C296">
        <v>120.2529018</v>
      </c>
      <c r="D296" t="s">
        <v>1734</v>
      </c>
      <c r="E296" t="s">
        <v>2585</v>
      </c>
    </row>
    <row r="297" spans="1:5" x14ac:dyDescent="0.25">
      <c r="A297" t="s">
        <v>2584</v>
      </c>
      <c r="B297">
        <v>-5.0054920000000003</v>
      </c>
      <c r="C297">
        <v>119.583764</v>
      </c>
      <c r="D297" t="s">
        <v>1743</v>
      </c>
      <c r="E297" t="s">
        <v>2583</v>
      </c>
    </row>
    <row r="298" spans="1:5" x14ac:dyDescent="0.25">
      <c r="A298" t="s">
        <v>2582</v>
      </c>
      <c r="B298">
        <v>-5.1567479000000001</v>
      </c>
      <c r="C298">
        <v>119.4238464</v>
      </c>
      <c r="D298" t="s">
        <v>1748</v>
      </c>
      <c r="E298" t="s">
        <v>2581</v>
      </c>
    </row>
    <row r="299" spans="1:5" x14ac:dyDescent="0.25">
      <c r="A299" t="s">
        <v>2580</v>
      </c>
      <c r="B299">
        <v>-5.1963197000000001</v>
      </c>
      <c r="C299">
        <v>119.445275</v>
      </c>
      <c r="D299" t="s">
        <v>1754</v>
      </c>
      <c r="E299" t="s">
        <v>2579</v>
      </c>
    </row>
    <row r="300" spans="1:5" x14ac:dyDescent="0.25">
      <c r="A300" t="s">
        <v>2578</v>
      </c>
      <c r="B300">
        <v>-5.1744909999999997</v>
      </c>
      <c r="C300">
        <v>119.432773</v>
      </c>
      <c r="D300" t="s">
        <v>1766</v>
      </c>
      <c r="E300" t="s">
        <v>2577</v>
      </c>
    </row>
    <row r="301" spans="1:5" x14ac:dyDescent="0.25">
      <c r="A301" t="s">
        <v>2440</v>
      </c>
      <c r="B301">
        <v>-5.1774101000000003</v>
      </c>
      <c r="C301">
        <v>119.46060180000001</v>
      </c>
      <c r="D301" t="s">
        <v>1766</v>
      </c>
      <c r="E301" t="s">
        <v>2576</v>
      </c>
    </row>
    <row r="302" spans="1:5" x14ac:dyDescent="0.25">
      <c r="A302" t="s">
        <v>2575</v>
      </c>
      <c r="B302">
        <v>-3.9628488000000002</v>
      </c>
      <c r="C302">
        <v>122.51897870000001</v>
      </c>
      <c r="D302" t="s">
        <v>1771</v>
      </c>
      <c r="E302" t="s">
        <v>2574</v>
      </c>
    </row>
    <row r="303" spans="1:5" x14ac:dyDescent="0.25">
      <c r="A303" t="s">
        <v>2573</v>
      </c>
      <c r="B303">
        <v>-4.0003034</v>
      </c>
      <c r="C303">
        <v>122.5098562</v>
      </c>
      <c r="D303" t="s">
        <v>1779</v>
      </c>
      <c r="E303" t="s">
        <v>2572</v>
      </c>
    </row>
    <row r="304" spans="1:5" x14ac:dyDescent="0.25">
      <c r="A304" t="s">
        <v>2571</v>
      </c>
      <c r="B304">
        <v>-3.9784456000000001</v>
      </c>
      <c r="C304">
        <v>122.51072069999999</v>
      </c>
      <c r="D304" t="s">
        <v>1785</v>
      </c>
      <c r="E304" t="s">
        <v>2570</v>
      </c>
    </row>
    <row r="305" spans="1:5" x14ac:dyDescent="0.25">
      <c r="A305" t="s">
        <v>2569</v>
      </c>
      <c r="B305">
        <v>-3.9732568000000001</v>
      </c>
      <c r="C305">
        <v>122.51799579999999</v>
      </c>
      <c r="D305" t="s">
        <v>1791</v>
      </c>
      <c r="E305" t="s">
        <v>2568</v>
      </c>
    </row>
    <row r="306" spans="1:5" x14ac:dyDescent="0.25">
      <c r="A306" t="s">
        <v>2567</v>
      </c>
      <c r="B306">
        <v>-2.5221399999999998</v>
      </c>
      <c r="C306">
        <v>120.813968</v>
      </c>
      <c r="D306" t="s">
        <v>1796</v>
      </c>
      <c r="E306" t="s">
        <v>2566</v>
      </c>
    </row>
    <row r="307" spans="1:5" x14ac:dyDescent="0.25">
      <c r="A307" t="s">
        <v>2565</v>
      </c>
      <c r="B307">
        <v>-5.1235868</v>
      </c>
      <c r="C307">
        <v>119.4185177</v>
      </c>
      <c r="D307" t="s">
        <v>1803</v>
      </c>
      <c r="E307" t="s">
        <v>2564</v>
      </c>
    </row>
    <row r="308" spans="1:5" x14ac:dyDescent="0.25">
      <c r="A308" t="s">
        <v>2410</v>
      </c>
      <c r="B308">
        <v>-5.1599155000000003</v>
      </c>
      <c r="C308">
        <v>119.42215729999999</v>
      </c>
      <c r="D308" t="s">
        <v>2408</v>
      </c>
      <c r="E308" t="s">
        <v>2409</v>
      </c>
    </row>
    <row r="309" spans="1:5" x14ac:dyDescent="0.25">
      <c r="A309" t="s">
        <v>2399</v>
      </c>
      <c r="B309">
        <v>-3.9360976999999999</v>
      </c>
      <c r="C309">
        <v>119.80100210000001</v>
      </c>
      <c r="D309" t="s">
        <v>1808</v>
      </c>
      <c r="E309" t="s">
        <v>2398</v>
      </c>
    </row>
    <row r="310" spans="1:5" x14ac:dyDescent="0.25">
      <c r="A310" t="s">
        <v>2563</v>
      </c>
      <c r="B310">
        <v>-0.85155320000000001</v>
      </c>
      <c r="C310">
        <v>119.8834334</v>
      </c>
      <c r="D310" t="s">
        <v>1813</v>
      </c>
      <c r="E310" t="s">
        <v>2562</v>
      </c>
    </row>
    <row r="311" spans="1:5" x14ac:dyDescent="0.25">
      <c r="A311" t="s">
        <v>2561</v>
      </c>
      <c r="B311">
        <v>1.4310414</v>
      </c>
      <c r="C311">
        <v>124.97642430000001</v>
      </c>
      <c r="D311" t="s">
        <v>1821</v>
      </c>
      <c r="E311" t="s">
        <v>2560</v>
      </c>
    </row>
    <row r="312" spans="1:5" x14ac:dyDescent="0.25">
      <c r="A312" t="s">
        <v>2557</v>
      </c>
      <c r="B312">
        <v>1.4929094999999999</v>
      </c>
      <c r="C312">
        <v>124.84593599999999</v>
      </c>
      <c r="D312" t="s">
        <v>1828</v>
      </c>
      <c r="E312" t="s">
        <v>2556</v>
      </c>
    </row>
    <row r="313" spans="1:5" x14ac:dyDescent="0.25">
      <c r="A313" t="s">
        <v>2555</v>
      </c>
      <c r="B313">
        <v>1.4567691</v>
      </c>
      <c r="C313">
        <v>124.8149391</v>
      </c>
      <c r="D313" t="s">
        <v>1834</v>
      </c>
      <c r="E313" t="s">
        <v>2554</v>
      </c>
    </row>
    <row r="314" spans="1:5" x14ac:dyDescent="0.25">
      <c r="A314" t="s">
        <v>2553</v>
      </c>
      <c r="B314">
        <v>1.3302843</v>
      </c>
      <c r="C314">
        <v>124.83846939999999</v>
      </c>
      <c r="D314" t="s">
        <v>1840</v>
      </c>
      <c r="E314" t="s">
        <v>2552</v>
      </c>
    </row>
    <row r="315" spans="1:5" x14ac:dyDescent="0.25">
      <c r="A315" t="s">
        <v>2551</v>
      </c>
      <c r="B315">
        <v>-0.91572450000000005</v>
      </c>
      <c r="C315">
        <v>100.3500409</v>
      </c>
      <c r="D315" t="s">
        <v>1852</v>
      </c>
      <c r="E315" t="s">
        <v>2550</v>
      </c>
    </row>
    <row r="316" spans="1:5" x14ac:dyDescent="0.25">
      <c r="A316" t="s">
        <v>2549</v>
      </c>
      <c r="B316">
        <v>-0.44889659999999998</v>
      </c>
      <c r="C316">
        <v>100.4011857</v>
      </c>
      <c r="D316" t="s">
        <v>1860</v>
      </c>
      <c r="E316" t="s">
        <v>2548</v>
      </c>
    </row>
    <row r="317" spans="1:5" x14ac:dyDescent="0.25">
      <c r="A317" t="s">
        <v>2547</v>
      </c>
      <c r="B317">
        <v>-2.1250513</v>
      </c>
      <c r="C317">
        <v>101.0706766</v>
      </c>
      <c r="D317" t="s">
        <v>1867</v>
      </c>
      <c r="E317" t="s">
        <v>2546</v>
      </c>
    </row>
    <row r="318" spans="1:5" x14ac:dyDescent="0.25">
      <c r="A318" t="s">
        <v>2545</v>
      </c>
      <c r="B318">
        <v>-0.29780499999999999</v>
      </c>
      <c r="C318">
        <v>100.3826554</v>
      </c>
      <c r="D318" t="s">
        <v>1874</v>
      </c>
      <c r="E318" t="s">
        <v>2544</v>
      </c>
    </row>
    <row r="319" spans="1:5" x14ac:dyDescent="0.25">
      <c r="A319" t="s">
        <v>2543</v>
      </c>
      <c r="B319">
        <v>-1.3420939000000001</v>
      </c>
      <c r="C319">
        <v>100.5796891</v>
      </c>
      <c r="D319" t="s">
        <v>1878</v>
      </c>
      <c r="E319" t="s">
        <v>2542</v>
      </c>
    </row>
    <row r="320" spans="1:5" x14ac:dyDescent="0.25">
      <c r="A320" t="s">
        <v>2541</v>
      </c>
      <c r="B320">
        <v>-0.46697899999999998</v>
      </c>
      <c r="C320">
        <v>100.40997400000001</v>
      </c>
      <c r="D320" t="s">
        <v>1883</v>
      </c>
      <c r="E320" t="s">
        <v>2540</v>
      </c>
    </row>
    <row r="321" spans="1:5" x14ac:dyDescent="0.25">
      <c r="A321" t="s">
        <v>2537</v>
      </c>
      <c r="B321">
        <v>-0.9455519</v>
      </c>
      <c r="C321">
        <v>100.35553400000001</v>
      </c>
      <c r="D321" t="s">
        <v>1896</v>
      </c>
      <c r="E321" t="s">
        <v>2536</v>
      </c>
    </row>
    <row r="322" spans="1:5" x14ac:dyDescent="0.25">
      <c r="A322" t="s">
        <v>2535</v>
      </c>
      <c r="B322">
        <v>-0.93411310000000003</v>
      </c>
      <c r="C322">
        <v>100.3543963</v>
      </c>
      <c r="D322" t="s">
        <v>1902</v>
      </c>
      <c r="E322" t="s">
        <v>2534</v>
      </c>
    </row>
    <row r="323" spans="1:5" x14ac:dyDescent="0.25">
      <c r="A323" t="s">
        <v>2533</v>
      </c>
      <c r="B323">
        <v>-0.93761079999999997</v>
      </c>
      <c r="C323">
        <v>100.35752530000001</v>
      </c>
      <c r="D323" t="s">
        <v>1908</v>
      </c>
      <c r="E323" t="s">
        <v>2532</v>
      </c>
    </row>
    <row r="324" spans="1:5" x14ac:dyDescent="0.25">
      <c r="A324" t="s">
        <v>1916</v>
      </c>
      <c r="B324">
        <v>-0.78401080000000001</v>
      </c>
      <c r="C324">
        <v>100.3165872</v>
      </c>
      <c r="D324" t="s">
        <v>1914</v>
      </c>
      <c r="E324" t="s">
        <v>2531</v>
      </c>
    </row>
    <row r="325" spans="1:5" x14ac:dyDescent="0.25">
      <c r="A325" t="s">
        <v>2530</v>
      </c>
      <c r="B325">
        <v>-0.83948730000000005</v>
      </c>
      <c r="C325">
        <v>100.35849949999999</v>
      </c>
      <c r="D325" t="s">
        <v>1921</v>
      </c>
      <c r="E325" t="s">
        <v>2529</v>
      </c>
    </row>
    <row r="326" spans="1:5" x14ac:dyDescent="0.25">
      <c r="A326" t="s">
        <v>2528</v>
      </c>
      <c r="B326">
        <v>-0.46056150000000001</v>
      </c>
      <c r="C326">
        <v>100.58081869999999</v>
      </c>
      <c r="D326" t="s">
        <v>1927</v>
      </c>
      <c r="E326" t="s">
        <v>2527</v>
      </c>
    </row>
    <row r="327" spans="1:5" x14ac:dyDescent="0.25">
      <c r="A327" t="s">
        <v>2526</v>
      </c>
      <c r="B327">
        <v>-0.79555149999999997</v>
      </c>
      <c r="C327">
        <v>100.66622460000001</v>
      </c>
      <c r="D327" t="s">
        <v>1933</v>
      </c>
      <c r="E327" t="s">
        <v>2525</v>
      </c>
    </row>
    <row r="328" spans="1:5" x14ac:dyDescent="0.25">
      <c r="A328" t="s">
        <v>2524</v>
      </c>
      <c r="B328">
        <v>-0.28584359999999998</v>
      </c>
      <c r="C328">
        <v>100.3721595</v>
      </c>
      <c r="D328" t="s">
        <v>1939</v>
      </c>
      <c r="E328" t="s">
        <v>2523</v>
      </c>
    </row>
    <row r="329" spans="1:5" x14ac:dyDescent="0.25">
      <c r="A329" t="s">
        <v>2522</v>
      </c>
      <c r="B329">
        <v>0.13720889999999999</v>
      </c>
      <c r="C329">
        <v>100.1684324</v>
      </c>
      <c r="D329" t="s">
        <v>2520</v>
      </c>
      <c r="E329" t="s">
        <v>2521</v>
      </c>
    </row>
    <row r="330" spans="1:5" x14ac:dyDescent="0.25">
      <c r="A330" t="s">
        <v>2519</v>
      </c>
      <c r="B330">
        <v>-0.94089920000000005</v>
      </c>
      <c r="C330">
        <v>100.35468299999999</v>
      </c>
      <c r="D330" t="s">
        <v>1944</v>
      </c>
      <c r="E330" t="s">
        <v>2518</v>
      </c>
    </row>
    <row r="331" spans="1:5" x14ac:dyDescent="0.25">
      <c r="A331" t="s">
        <v>2517</v>
      </c>
      <c r="B331">
        <v>-0.95117160000000001</v>
      </c>
      <c r="C331">
        <v>100.3584144</v>
      </c>
      <c r="D331" t="s">
        <v>1949</v>
      </c>
      <c r="E331" t="s">
        <v>2516</v>
      </c>
    </row>
    <row r="332" spans="1:5" x14ac:dyDescent="0.25">
      <c r="A332" t="s">
        <v>2515</v>
      </c>
      <c r="B332">
        <v>-0.1505204</v>
      </c>
      <c r="C332">
        <v>100.56409910000001</v>
      </c>
      <c r="D332" t="s">
        <v>1954</v>
      </c>
      <c r="E332" t="s">
        <v>2514</v>
      </c>
    </row>
    <row r="333" spans="1:5" x14ac:dyDescent="0.25">
      <c r="A333" t="s">
        <v>2513</v>
      </c>
      <c r="B333">
        <v>7.5257299999999999E-2</v>
      </c>
      <c r="C333">
        <v>99.821232499999994</v>
      </c>
      <c r="D333" t="s">
        <v>1961</v>
      </c>
      <c r="E333" t="s">
        <v>2512</v>
      </c>
    </row>
    <row r="334" spans="1:5" x14ac:dyDescent="0.25">
      <c r="A334" t="s">
        <v>2511</v>
      </c>
      <c r="B334">
        <v>-0.31071260000000001</v>
      </c>
      <c r="C334">
        <v>100.38722420000001</v>
      </c>
      <c r="D334" t="s">
        <v>1967</v>
      </c>
      <c r="E334" t="s">
        <v>2510</v>
      </c>
    </row>
    <row r="335" spans="1:5" x14ac:dyDescent="0.25">
      <c r="A335" t="s">
        <v>2539</v>
      </c>
      <c r="B335">
        <v>-0.2490908</v>
      </c>
      <c r="C335">
        <v>100.67953369999999</v>
      </c>
      <c r="D335" t="s">
        <v>1972</v>
      </c>
      <c r="E335" t="s">
        <v>2538</v>
      </c>
    </row>
    <row r="336" spans="1:5" x14ac:dyDescent="0.25">
      <c r="A336" t="s">
        <v>2420</v>
      </c>
      <c r="B336">
        <v>0.82836549999999998</v>
      </c>
      <c r="C336">
        <v>99.565130999999994</v>
      </c>
      <c r="D336" t="s">
        <v>1972</v>
      </c>
      <c r="E336" s="18" t="s">
        <v>2419</v>
      </c>
    </row>
    <row r="337" spans="1:5" x14ac:dyDescent="0.25">
      <c r="A337" t="s">
        <v>2509</v>
      </c>
      <c r="B337">
        <v>-3.790117</v>
      </c>
      <c r="C337">
        <v>103.5386496</v>
      </c>
      <c r="D337" t="s">
        <v>1977</v>
      </c>
      <c r="E337" t="s">
        <v>2508</v>
      </c>
    </row>
    <row r="338" spans="1:5" x14ac:dyDescent="0.25">
      <c r="A338" t="s">
        <v>2438</v>
      </c>
      <c r="B338">
        <v>-2.9501051999999999</v>
      </c>
      <c r="C338">
        <v>104.7667237</v>
      </c>
      <c r="D338" t="s">
        <v>1985</v>
      </c>
      <c r="E338" t="s">
        <v>2507</v>
      </c>
    </row>
    <row r="339" spans="1:5" x14ac:dyDescent="0.25">
      <c r="A339" t="s">
        <v>2438</v>
      </c>
      <c r="B339">
        <v>-2.9754515000000001</v>
      </c>
      <c r="C339">
        <v>104.7608875</v>
      </c>
      <c r="D339" t="s">
        <v>1991</v>
      </c>
      <c r="E339" t="s">
        <v>2506</v>
      </c>
    </row>
    <row r="340" spans="1:5" x14ac:dyDescent="0.25">
      <c r="A340" t="s">
        <v>2505</v>
      </c>
      <c r="B340">
        <v>-2.9759088999999999</v>
      </c>
      <c r="C340">
        <v>104.7601679</v>
      </c>
      <c r="D340" t="s">
        <v>1996</v>
      </c>
      <c r="E340" t="s">
        <v>2504</v>
      </c>
    </row>
    <row r="341" spans="1:5" x14ac:dyDescent="0.25">
      <c r="A341" t="s">
        <v>2503</v>
      </c>
      <c r="B341">
        <v>-2.9178394999999999</v>
      </c>
      <c r="C341">
        <v>104.76082169999999</v>
      </c>
      <c r="D341" t="s">
        <v>2002</v>
      </c>
      <c r="E341" t="s">
        <v>2502</v>
      </c>
    </row>
    <row r="342" spans="1:5" x14ac:dyDescent="0.25">
      <c r="A342" t="s">
        <v>2501</v>
      </c>
      <c r="B342">
        <v>-4.1128840000000002</v>
      </c>
      <c r="C342">
        <v>104.6782158</v>
      </c>
      <c r="D342" t="s">
        <v>2007</v>
      </c>
      <c r="E342" t="s">
        <v>2500</v>
      </c>
    </row>
    <row r="343" spans="1:5" x14ac:dyDescent="0.25">
      <c r="A343" t="s">
        <v>2499</v>
      </c>
      <c r="B343">
        <v>-2.9138551000000001</v>
      </c>
      <c r="C343">
        <v>104.67135690000001</v>
      </c>
      <c r="D343" t="s">
        <v>2012</v>
      </c>
      <c r="E343" t="s">
        <v>2498</v>
      </c>
    </row>
    <row r="344" spans="1:5" x14ac:dyDescent="0.25">
      <c r="A344" t="s">
        <v>2497</v>
      </c>
      <c r="B344">
        <v>-3.8588808000000001</v>
      </c>
      <c r="C344">
        <v>104.8867623</v>
      </c>
      <c r="D344" t="s">
        <v>2018</v>
      </c>
      <c r="E344" t="s">
        <v>2496</v>
      </c>
    </row>
    <row r="345" spans="1:5" x14ac:dyDescent="0.25">
      <c r="A345" t="s">
        <v>2373</v>
      </c>
      <c r="B345">
        <v>-2.9528595000000002</v>
      </c>
      <c r="C345">
        <v>104.7556113</v>
      </c>
      <c r="D345" t="s">
        <v>2024</v>
      </c>
      <c r="E345" t="s">
        <v>2372</v>
      </c>
    </row>
    <row r="346" spans="1:5" x14ac:dyDescent="0.25">
      <c r="A346" t="s">
        <v>2495</v>
      </c>
      <c r="B346">
        <v>-2.9500883</v>
      </c>
      <c r="C346">
        <v>104.7852688</v>
      </c>
      <c r="D346" t="s">
        <v>2030</v>
      </c>
      <c r="E346" t="s">
        <v>2494</v>
      </c>
    </row>
    <row r="347" spans="1:5" x14ac:dyDescent="0.25">
      <c r="A347" t="s">
        <v>2038</v>
      </c>
      <c r="B347">
        <v>-2.9946769</v>
      </c>
      <c r="C347">
        <v>104.80886940000001</v>
      </c>
      <c r="D347" t="s">
        <v>2036</v>
      </c>
      <c r="E347" t="s">
        <v>2493</v>
      </c>
    </row>
    <row r="348" spans="1:5" x14ac:dyDescent="0.25">
      <c r="A348" t="s">
        <v>2432</v>
      </c>
      <c r="B348">
        <v>-2.9748491000000001</v>
      </c>
      <c r="C348">
        <v>104.7745309</v>
      </c>
      <c r="D348" t="s">
        <v>2041</v>
      </c>
      <c r="E348" t="s">
        <v>2431</v>
      </c>
    </row>
    <row r="349" spans="1:5" x14ac:dyDescent="0.25">
      <c r="A349" t="s">
        <v>2384</v>
      </c>
      <c r="B349">
        <v>3.5601113999999998</v>
      </c>
      <c r="C349">
        <v>98.719607100000005</v>
      </c>
      <c r="D349" t="s">
        <v>2382</v>
      </c>
      <c r="E349" s="18" t="s">
        <v>2383</v>
      </c>
    </row>
    <row r="350" spans="1:5" x14ac:dyDescent="0.25">
      <c r="A350" t="s">
        <v>2492</v>
      </c>
      <c r="B350">
        <v>3.6065082999999998</v>
      </c>
      <c r="C350">
        <v>98.670691000000005</v>
      </c>
      <c r="D350" t="s">
        <v>2046</v>
      </c>
      <c r="E350" t="s">
        <v>2491</v>
      </c>
    </row>
    <row r="351" spans="1:5" x14ac:dyDescent="0.25">
      <c r="A351" t="s">
        <v>2375</v>
      </c>
      <c r="B351">
        <v>3.5669490000000001</v>
      </c>
      <c r="C351">
        <v>98.691522199999994</v>
      </c>
      <c r="D351" t="s">
        <v>2054</v>
      </c>
      <c r="E351" t="s">
        <v>2374</v>
      </c>
    </row>
    <row r="352" spans="1:5" x14ac:dyDescent="0.25">
      <c r="A352" t="s">
        <v>2490</v>
      </c>
      <c r="B352">
        <v>3.5887726999999998</v>
      </c>
      <c r="C352">
        <v>98.701693300000002</v>
      </c>
      <c r="D352" t="s">
        <v>2060</v>
      </c>
      <c r="E352" t="s">
        <v>2489</v>
      </c>
    </row>
    <row r="353" spans="1:5" x14ac:dyDescent="0.25">
      <c r="A353" t="s">
        <v>2488</v>
      </c>
      <c r="B353">
        <v>3.5911987000000001</v>
      </c>
      <c r="C353">
        <v>98.640918099999993</v>
      </c>
      <c r="D353" t="s">
        <v>2066</v>
      </c>
      <c r="E353" t="s">
        <v>2487</v>
      </c>
    </row>
    <row r="354" spans="1:5" x14ac:dyDescent="0.25">
      <c r="A354" t="s">
        <v>2486</v>
      </c>
      <c r="B354">
        <v>3.6054010000000001</v>
      </c>
      <c r="C354">
        <v>98.487732899999997</v>
      </c>
      <c r="D354" t="s">
        <v>2072</v>
      </c>
      <c r="E354" t="s">
        <v>2485</v>
      </c>
    </row>
    <row r="355" spans="1:5" x14ac:dyDescent="0.25">
      <c r="A355" t="s">
        <v>2484</v>
      </c>
      <c r="B355">
        <v>1.7402655</v>
      </c>
      <c r="C355">
        <v>98.782555700000003</v>
      </c>
      <c r="D355" t="s">
        <v>2079</v>
      </c>
      <c r="E355" t="s">
        <v>2483</v>
      </c>
    </row>
    <row r="356" spans="1:5" x14ac:dyDescent="0.25">
      <c r="A356" t="s">
        <v>2482</v>
      </c>
      <c r="B356">
        <v>3.5540850000000002</v>
      </c>
      <c r="C356">
        <v>98.6321753</v>
      </c>
      <c r="D356" t="s">
        <v>2086</v>
      </c>
      <c r="E356" t="s">
        <v>2481</v>
      </c>
    </row>
    <row r="357" spans="1:5" x14ac:dyDescent="0.25">
      <c r="A357" t="s">
        <v>2480</v>
      </c>
      <c r="B357">
        <v>3.6025138999999999</v>
      </c>
      <c r="C357">
        <v>98.645481500000002</v>
      </c>
      <c r="D357" t="s">
        <v>2092</v>
      </c>
      <c r="E357" t="s">
        <v>2479</v>
      </c>
    </row>
    <row r="358" spans="1:5" x14ac:dyDescent="0.25">
      <c r="A358" t="s">
        <v>2478</v>
      </c>
      <c r="B358">
        <v>3.590157</v>
      </c>
      <c r="C358">
        <v>98.669508899999997</v>
      </c>
      <c r="D358" t="s">
        <v>2098</v>
      </c>
      <c r="E358" t="s">
        <v>2477</v>
      </c>
    </row>
    <row r="359" spans="1:5" x14ac:dyDescent="0.25">
      <c r="A359" t="s">
        <v>2476</v>
      </c>
      <c r="B359">
        <v>3.5930019</v>
      </c>
      <c r="C359">
        <v>98.678394699999998</v>
      </c>
      <c r="D359" t="s">
        <v>2104</v>
      </c>
      <c r="E359" t="s">
        <v>2475</v>
      </c>
    </row>
    <row r="360" spans="1:5" x14ac:dyDescent="0.25">
      <c r="A360" t="s">
        <v>2474</v>
      </c>
      <c r="B360">
        <v>3.5726301999999999</v>
      </c>
      <c r="C360">
        <v>98.688908400000003</v>
      </c>
      <c r="D360" t="s">
        <v>2110</v>
      </c>
      <c r="E360" t="s">
        <v>2473</v>
      </c>
    </row>
    <row r="361" spans="1:5" x14ac:dyDescent="0.25">
      <c r="A361" t="s">
        <v>2472</v>
      </c>
      <c r="B361">
        <v>2.0975343999999998</v>
      </c>
      <c r="C361">
        <v>99.8327989</v>
      </c>
      <c r="D361" t="s">
        <v>2116</v>
      </c>
      <c r="E361" t="s">
        <v>2471</v>
      </c>
    </row>
    <row r="362" spans="1:5" x14ac:dyDescent="0.25">
      <c r="A362" t="s">
        <v>2470</v>
      </c>
      <c r="B362">
        <v>3.5782352999999998</v>
      </c>
      <c r="C362">
        <v>98.626765500000005</v>
      </c>
      <c r="D362" t="s">
        <v>2122</v>
      </c>
      <c r="E362" t="s">
        <v>2469</v>
      </c>
    </row>
    <row r="363" spans="1:5" x14ac:dyDescent="0.25">
      <c r="A363" t="s">
        <v>2468</v>
      </c>
      <c r="B363">
        <v>2.9654541000000001</v>
      </c>
      <c r="C363">
        <v>99.075255200000001</v>
      </c>
      <c r="D363" t="s">
        <v>2127</v>
      </c>
      <c r="E363" t="s">
        <v>2467</v>
      </c>
    </row>
    <row r="364" spans="1:5" x14ac:dyDescent="0.25">
      <c r="A364" t="s">
        <v>2466</v>
      </c>
      <c r="B364">
        <v>3.5886494</v>
      </c>
      <c r="C364">
        <v>98.680414400000004</v>
      </c>
      <c r="D364" t="s">
        <v>2134</v>
      </c>
      <c r="E364" t="s">
        <v>2465</v>
      </c>
    </row>
    <row r="365" spans="1:5" x14ac:dyDescent="0.25">
      <c r="A365" t="s">
        <v>2464</v>
      </c>
      <c r="B365">
        <v>3.5948959</v>
      </c>
      <c r="C365">
        <v>98.680789399999995</v>
      </c>
      <c r="D365" t="s">
        <v>2140</v>
      </c>
      <c r="E365" t="s">
        <v>2463</v>
      </c>
    </row>
    <row r="366" spans="1:5" x14ac:dyDescent="0.25">
      <c r="A366" t="s">
        <v>2462</v>
      </c>
      <c r="B366">
        <v>3.5525679999999999</v>
      </c>
      <c r="C366">
        <v>98.625781000000003</v>
      </c>
      <c r="D366" t="s">
        <v>2146</v>
      </c>
      <c r="E366" t="s">
        <v>2461</v>
      </c>
    </row>
    <row r="367" spans="1:5" x14ac:dyDescent="0.25">
      <c r="A367" t="s">
        <v>2460</v>
      </c>
      <c r="B367">
        <v>3.6218542999999999</v>
      </c>
      <c r="C367">
        <v>98.705428999999995</v>
      </c>
      <c r="D367" t="s">
        <v>2152</v>
      </c>
      <c r="E367" t="s">
        <v>2459</v>
      </c>
    </row>
    <row r="368" spans="1:5" x14ac:dyDescent="0.25">
      <c r="A368" t="s">
        <v>2458</v>
      </c>
      <c r="B368">
        <v>3.5898869000000002</v>
      </c>
      <c r="C368">
        <v>98.6565054</v>
      </c>
      <c r="D368" t="s">
        <v>2158</v>
      </c>
      <c r="E368" t="s">
        <v>2457</v>
      </c>
    </row>
    <row r="369" spans="1:5" x14ac:dyDescent="0.25">
      <c r="A369" t="s">
        <v>2349</v>
      </c>
      <c r="B369">
        <v>-7.0044475000000004</v>
      </c>
      <c r="C369">
        <v>110.39791839999999</v>
      </c>
      <c r="D369" t="s">
        <v>1210</v>
      </c>
      <c r="E369" t="s">
        <v>2348</v>
      </c>
    </row>
    <row r="370" spans="1:5" x14ac:dyDescent="0.25">
      <c r="A370" t="s">
        <v>2352</v>
      </c>
      <c r="B370">
        <v>3.6365555559999998</v>
      </c>
      <c r="C370">
        <v>98.680972220000001</v>
      </c>
      <c r="D370" t="s">
        <v>2350</v>
      </c>
      <c r="E370" s="18" t="s">
        <v>2351</v>
      </c>
    </row>
    <row r="371" spans="1:5" x14ac:dyDescent="0.25">
      <c r="A371" t="s">
        <v>2454</v>
      </c>
      <c r="B371">
        <v>-2.1368211000000001</v>
      </c>
      <c r="C371">
        <v>106.1365322</v>
      </c>
      <c r="D371" t="s">
        <v>2177</v>
      </c>
      <c r="E371" t="s">
        <v>2453</v>
      </c>
    </row>
    <row r="372" spans="1:5" x14ac:dyDescent="0.25">
      <c r="A372" t="s">
        <v>2452</v>
      </c>
      <c r="B372">
        <v>-8.6835418999999998</v>
      </c>
      <c r="C372">
        <v>115.1954887</v>
      </c>
      <c r="D372" t="s">
        <v>2181</v>
      </c>
      <c r="E372" t="s">
        <v>2451</v>
      </c>
    </row>
    <row r="373" spans="1:5" x14ac:dyDescent="0.25">
      <c r="A373" t="s">
        <v>2450</v>
      </c>
      <c r="B373">
        <v>-8.7179529999999996</v>
      </c>
      <c r="C373">
        <v>115.1849138</v>
      </c>
      <c r="D373" t="s">
        <v>2185</v>
      </c>
      <c r="E373" t="s">
        <v>2449</v>
      </c>
    </row>
    <row r="374" spans="1:5" x14ac:dyDescent="0.25">
      <c r="A374" t="s">
        <v>2436</v>
      </c>
      <c r="B374">
        <v>-6.9047812999999998</v>
      </c>
      <c r="C374">
        <v>107.6028628</v>
      </c>
      <c r="D374" t="s">
        <v>2190</v>
      </c>
      <c r="E374" t="s">
        <v>2435</v>
      </c>
    </row>
    <row r="375" spans="1:5" x14ac:dyDescent="0.25">
      <c r="A375" t="s">
        <v>2448</v>
      </c>
      <c r="B375">
        <v>-6.2594973999999999</v>
      </c>
      <c r="C375">
        <v>106.781649</v>
      </c>
      <c r="D375" t="s">
        <v>2196</v>
      </c>
      <c r="E375" t="s">
        <v>2447</v>
      </c>
    </row>
    <row r="376" spans="1:5" x14ac:dyDescent="0.25">
      <c r="A376" t="s">
        <v>2446</v>
      </c>
      <c r="B376">
        <v>-6.2276676000000002</v>
      </c>
      <c r="C376">
        <v>106.6391907</v>
      </c>
      <c r="D376" t="s">
        <v>2203</v>
      </c>
      <c r="E376" t="s">
        <v>2445</v>
      </c>
    </row>
    <row r="377" spans="1:5" x14ac:dyDescent="0.25">
      <c r="A377" t="s">
        <v>2444</v>
      </c>
      <c r="B377">
        <v>-7.3299848000000001</v>
      </c>
      <c r="C377">
        <v>112.78093990000001</v>
      </c>
      <c r="D377" t="s">
        <v>2208</v>
      </c>
      <c r="E377" t="s">
        <v>2443</v>
      </c>
    </row>
    <row r="378" spans="1:5" x14ac:dyDescent="0.25">
      <c r="A378" t="s">
        <v>2442</v>
      </c>
      <c r="B378">
        <v>-7.7505699999999997E-2</v>
      </c>
      <c r="C378">
        <v>109.36629480000001</v>
      </c>
      <c r="D378" t="s">
        <v>2212</v>
      </c>
      <c r="E378" t="s">
        <v>2441</v>
      </c>
    </row>
    <row r="379" spans="1:5" x14ac:dyDescent="0.25">
      <c r="A379" t="s">
        <v>2440</v>
      </c>
      <c r="B379">
        <v>-5.1277590000000002</v>
      </c>
      <c r="C379">
        <v>119.41997809999999</v>
      </c>
      <c r="D379" t="s">
        <v>2218</v>
      </c>
      <c r="E379" t="s">
        <v>2439</v>
      </c>
    </row>
    <row r="380" spans="1:5" x14ac:dyDescent="0.25">
      <c r="A380" t="s">
        <v>2438</v>
      </c>
      <c r="B380">
        <v>-2.9608596999999999</v>
      </c>
      <c r="C380">
        <v>104.79492930000001</v>
      </c>
      <c r="D380" t="s">
        <v>2224</v>
      </c>
      <c r="E380" t="s">
        <v>2437</v>
      </c>
    </row>
  </sheetData>
  <sortState ref="A3:E380">
    <sortCondition ref="D3"/>
  </sortState>
  <hyperlinks>
    <hyperlink ref="E370" r:id="rId1"/>
    <hyperlink ref="E336" r:id="rId2"/>
    <hyperlink ref="E349" r:id="rId3"/>
    <hyperlink ref="E289" r:id="rId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AF37"/>
  <sheetViews>
    <sheetView tabSelected="1" zoomScale="70" zoomScaleNormal="70" zoomScaleSheetLayoutView="55" workbookViewId="0">
      <pane xSplit="5" ySplit="4" topLeftCell="F5" activePane="bottomRight" state="frozen"/>
      <selection activeCell="E25" sqref="E25"/>
      <selection pane="topRight" activeCell="E25" sqref="E25"/>
      <selection pane="bottomLeft" activeCell="E25" sqref="E25"/>
      <selection pane="bottomRight" activeCell="D33" sqref="D33"/>
    </sheetView>
  </sheetViews>
  <sheetFormatPr defaultColWidth="9.140625" defaultRowHeight="15" x14ac:dyDescent="0.25"/>
  <cols>
    <col min="1" max="1" width="6.28515625" style="75" customWidth="1"/>
    <col min="2" max="2" width="19.7109375" style="75" customWidth="1"/>
    <col min="3" max="3" width="14.42578125" style="75" customWidth="1"/>
    <col min="4" max="4" width="45.140625" bestFit="1" customWidth="1"/>
    <col min="5" max="5" width="63.140625" style="75" customWidth="1"/>
    <col min="6" max="6" width="15.85546875" style="75" bestFit="1" customWidth="1"/>
    <col min="7" max="7" width="20.140625" style="75" customWidth="1"/>
    <col min="8" max="8" width="26.5703125" style="75" customWidth="1"/>
    <col min="9" max="9" width="30.85546875" style="75" customWidth="1"/>
    <col min="10" max="10" width="26.28515625" style="75" bestFit="1" customWidth="1"/>
    <col min="11" max="11" width="27.7109375" style="5" bestFit="1" customWidth="1"/>
    <col min="12" max="12" width="25.28515625" style="115" bestFit="1" customWidth="1"/>
    <col min="13" max="13" width="34.5703125" style="115" customWidth="1"/>
    <col min="14" max="16" width="25" style="115" customWidth="1"/>
    <col min="17" max="17" width="20.28515625" style="75" customWidth="1"/>
    <col min="18" max="19" width="14.140625" style="75" customWidth="1"/>
    <col min="20" max="20" width="14.85546875" style="75" customWidth="1"/>
    <col min="21" max="21" width="19.140625" style="75" customWidth="1"/>
    <col min="22" max="22" width="17.42578125" style="75" customWidth="1"/>
    <col min="23" max="23" width="15.140625" style="75" customWidth="1"/>
    <col min="24" max="24" width="16.28515625" style="75" customWidth="1"/>
    <col min="25" max="25" width="12.42578125" style="75" customWidth="1"/>
    <col min="26" max="26" width="15.140625" style="75" customWidth="1"/>
    <col min="27" max="27" width="20.42578125" style="75" customWidth="1"/>
    <col min="28" max="28" width="24.5703125" style="75" customWidth="1"/>
    <col min="29" max="29" width="44.140625" style="75" bestFit="1" customWidth="1"/>
    <col min="30" max="32" width="15.140625" style="75" customWidth="1"/>
    <col min="33" max="16384" width="9.140625" style="75"/>
  </cols>
  <sheetData>
    <row r="1" spans="1:32" s="73" customFormat="1" ht="20.25" x14ac:dyDescent="0.25">
      <c r="A1" s="70" t="s">
        <v>3136</v>
      </c>
      <c r="B1" s="71"/>
      <c r="C1" s="72"/>
      <c r="J1" s="1"/>
      <c r="K1" s="74"/>
      <c r="L1" s="74"/>
      <c r="M1" s="74"/>
      <c r="N1" s="74"/>
      <c r="O1" s="74"/>
    </row>
    <row r="2" spans="1:32" s="73" customFormat="1" x14ac:dyDescent="0.25">
      <c r="A2" s="75"/>
      <c r="B2" s="75"/>
      <c r="C2" s="75"/>
      <c r="D2" s="75"/>
      <c r="E2" s="75"/>
      <c r="F2" s="75"/>
      <c r="G2" s="75"/>
      <c r="H2" s="75"/>
      <c r="I2" s="75"/>
      <c r="J2" s="1"/>
      <c r="K2" s="74"/>
      <c r="L2" s="74"/>
      <c r="M2" s="74"/>
      <c r="N2" s="74"/>
      <c r="O2" s="74"/>
    </row>
    <row r="3" spans="1:32" s="76" customFormat="1" ht="16.5" customHeight="1" x14ac:dyDescent="0.25">
      <c r="A3" s="6">
        <f>COUNT(A5:A22)</f>
        <v>18</v>
      </c>
      <c r="Q3" s="77" t="s">
        <v>3137</v>
      </c>
      <c r="R3" s="77"/>
      <c r="S3" s="77"/>
      <c r="T3" s="77"/>
      <c r="U3" s="77"/>
      <c r="V3" s="77"/>
      <c r="W3" s="77"/>
      <c r="X3" s="77"/>
      <c r="Y3" s="77"/>
      <c r="Z3" s="77"/>
    </row>
    <row r="4" spans="1:32" s="76" customFormat="1" ht="35.25" customHeight="1" x14ac:dyDescent="0.25">
      <c r="A4" s="78" t="s">
        <v>1</v>
      </c>
      <c r="B4" s="79" t="s">
        <v>3138</v>
      </c>
      <c r="C4" s="80" t="s">
        <v>3139</v>
      </c>
      <c r="D4" s="80" t="s">
        <v>4</v>
      </c>
      <c r="E4" s="80" t="s">
        <v>5</v>
      </c>
      <c r="F4" s="80" t="s">
        <v>3140</v>
      </c>
      <c r="G4" s="80" t="s">
        <v>3141</v>
      </c>
      <c r="H4" s="80" t="s">
        <v>3142</v>
      </c>
      <c r="I4" s="80" t="s">
        <v>3143</v>
      </c>
      <c r="J4" s="79" t="s">
        <v>3144</v>
      </c>
      <c r="K4" s="81" t="s">
        <v>3145</v>
      </c>
      <c r="L4" s="81" t="s">
        <v>3146</v>
      </c>
      <c r="M4" s="81" t="s">
        <v>3147</v>
      </c>
      <c r="N4" s="81" t="s">
        <v>3148</v>
      </c>
      <c r="O4" s="82" t="s">
        <v>3149</v>
      </c>
      <c r="P4" s="81" t="s">
        <v>3150</v>
      </c>
      <c r="Q4" s="83" t="s">
        <v>3151</v>
      </c>
      <c r="R4" s="83" t="s">
        <v>3152</v>
      </c>
      <c r="S4" s="84" t="s">
        <v>3153</v>
      </c>
      <c r="T4" s="85" t="s">
        <v>3154</v>
      </c>
      <c r="U4" s="85" t="s">
        <v>3155</v>
      </c>
      <c r="V4" s="85" t="s">
        <v>3156</v>
      </c>
      <c r="W4" s="85" t="s">
        <v>3157</v>
      </c>
      <c r="X4" s="85" t="s">
        <v>3158</v>
      </c>
      <c r="Y4" s="85" t="s">
        <v>3159</v>
      </c>
      <c r="Z4" s="86" t="s">
        <v>3160</v>
      </c>
      <c r="AB4" s="76" t="s">
        <v>3161</v>
      </c>
      <c r="AC4" s="76" t="s">
        <v>3162</v>
      </c>
      <c r="AD4" s="76" t="s">
        <v>3163</v>
      </c>
      <c r="AE4" s="76" t="s">
        <v>3164</v>
      </c>
      <c r="AF4" s="76" t="s">
        <v>3165</v>
      </c>
    </row>
    <row r="5" spans="1:32" s="73" customFormat="1" ht="15" customHeight="1" x14ac:dyDescent="0.25">
      <c r="A5" s="87">
        <v>1</v>
      </c>
      <c r="B5" s="88" t="s">
        <v>3166</v>
      </c>
      <c r="C5" s="89" t="s">
        <v>3167</v>
      </c>
      <c r="D5" s="88" t="s">
        <v>3168</v>
      </c>
      <c r="E5" s="90" t="s">
        <v>3169</v>
      </c>
      <c r="F5" s="88" t="s">
        <v>1832</v>
      </c>
      <c r="G5" s="88" t="s">
        <v>1826</v>
      </c>
      <c r="H5" s="88" t="s">
        <v>3170</v>
      </c>
      <c r="I5" s="88" t="s">
        <v>3171</v>
      </c>
      <c r="J5" s="91" t="s">
        <v>3172</v>
      </c>
      <c r="K5" s="92" t="s">
        <v>3173</v>
      </c>
      <c r="L5" s="92" t="s">
        <v>3174</v>
      </c>
      <c r="M5" s="90"/>
      <c r="N5" s="93" t="s">
        <v>3175</v>
      </c>
      <c r="O5" s="92"/>
      <c r="P5" s="92"/>
      <c r="Q5" s="94"/>
      <c r="R5" s="94"/>
      <c r="S5" s="90"/>
      <c r="T5" s="95"/>
      <c r="U5" s="95"/>
      <c r="V5" s="95"/>
      <c r="W5" s="95"/>
      <c r="X5" s="95"/>
      <c r="Y5" s="95"/>
      <c r="Z5" s="96">
        <f>Table5[[#This Row],[Tax]]+Table5[[#This Row],[License]]+Table5[[#This Row],[Transport.]]+Table5[[#This Row],[Agency Fee]]+Table5[[#This Row],[PPN 10%]]+Table5[[#This Row],[Other cost]]</f>
        <v>0</v>
      </c>
      <c r="AB5" s="73" t="s">
        <v>3176</v>
      </c>
      <c r="AC5" s="73" t="s">
        <v>3169</v>
      </c>
      <c r="AD5" s="73" t="s">
        <v>3177</v>
      </c>
      <c r="AE5" s="73" t="s">
        <v>1826</v>
      </c>
      <c r="AF5" s="73" t="s">
        <v>3178</v>
      </c>
    </row>
    <row r="6" spans="1:32" x14ac:dyDescent="0.25">
      <c r="A6" s="87">
        <f t="shared" ref="A6:A22" si="0">A5+1</f>
        <v>2</v>
      </c>
      <c r="B6" s="88" t="s">
        <v>3166</v>
      </c>
      <c r="C6" s="89" t="s">
        <v>3179</v>
      </c>
      <c r="D6" s="90" t="s">
        <v>3180</v>
      </c>
      <c r="E6" s="90" t="s">
        <v>3181</v>
      </c>
      <c r="F6" s="90" t="s">
        <v>1408</v>
      </c>
      <c r="G6" s="90" t="s">
        <v>1216</v>
      </c>
      <c r="H6" s="90" t="s">
        <v>3182</v>
      </c>
      <c r="I6" s="90" t="s">
        <v>3183</v>
      </c>
      <c r="J6" s="92" t="s">
        <v>3184</v>
      </c>
      <c r="K6" s="92" t="s">
        <v>3173</v>
      </c>
      <c r="L6" s="92" t="s">
        <v>3174</v>
      </c>
      <c r="M6" s="97"/>
      <c r="N6" s="93" t="s">
        <v>3185</v>
      </c>
      <c r="O6" s="92"/>
      <c r="P6" s="92"/>
      <c r="Q6" s="94">
        <v>44034</v>
      </c>
      <c r="R6" s="94">
        <v>44398</v>
      </c>
      <c r="S6" s="90"/>
      <c r="T6" s="95">
        <v>3618750</v>
      </c>
      <c r="U6" s="95">
        <v>2000000</v>
      </c>
      <c r="V6" s="95">
        <v>300000</v>
      </c>
      <c r="W6" s="95">
        <v>361875</v>
      </c>
      <c r="X6" s="95">
        <v>36187</v>
      </c>
      <c r="Y6" s="95">
        <v>0</v>
      </c>
      <c r="Z6" s="96">
        <f>Table5[[#This Row],[Tax]]+Table5[[#This Row],[License]]+Table5[[#This Row],[Transport.]]+Table5[[#This Row],[Agency Fee]]+Table5[[#This Row],[PPN 10%]]+Table5[[#This Row],[Other cost]]</f>
        <v>6316812</v>
      </c>
      <c r="AB6" s="75" t="s">
        <v>3180</v>
      </c>
      <c r="AC6" s="75" t="s">
        <v>3186</v>
      </c>
      <c r="AD6" s="75" t="s">
        <v>1408</v>
      </c>
      <c r="AE6" s="75" t="s">
        <v>1216</v>
      </c>
      <c r="AF6" s="73" t="s">
        <v>3178</v>
      </c>
    </row>
    <row r="7" spans="1:32" x14ac:dyDescent="0.25">
      <c r="A7" s="87">
        <f t="shared" si="0"/>
        <v>3</v>
      </c>
      <c r="B7" s="88" t="s">
        <v>3166</v>
      </c>
      <c r="C7" s="89" t="s">
        <v>3187</v>
      </c>
      <c r="D7" s="98" t="s">
        <v>1025</v>
      </c>
      <c r="E7" s="90" t="s">
        <v>3188</v>
      </c>
      <c r="F7" s="90" t="s">
        <v>3189</v>
      </c>
      <c r="G7" s="90" t="s">
        <v>3190</v>
      </c>
      <c r="H7" s="90" t="s">
        <v>3191</v>
      </c>
      <c r="I7" s="90" t="s">
        <v>3171</v>
      </c>
      <c r="J7" s="92" t="s">
        <v>3192</v>
      </c>
      <c r="K7" s="92" t="s">
        <v>3173</v>
      </c>
      <c r="L7" s="92" t="s">
        <v>3174</v>
      </c>
      <c r="M7" s="97"/>
      <c r="N7" s="99">
        <v>43866</v>
      </c>
      <c r="O7" s="92" t="s">
        <v>3193</v>
      </c>
      <c r="P7" s="100">
        <v>181164600</v>
      </c>
      <c r="Q7" s="94"/>
      <c r="R7" s="94"/>
      <c r="S7" s="90"/>
      <c r="T7" s="95"/>
      <c r="U7" s="95"/>
      <c r="V7" s="95"/>
      <c r="W7" s="95"/>
      <c r="X7" s="95"/>
      <c r="Y7" s="95"/>
      <c r="Z7" s="96">
        <f>Table5[[#This Row],[Tax]]+Table5[[#This Row],[License]]+Table5[[#This Row],[Transport.]]+Table5[[#This Row],[Agency Fee]]+Table5[[#This Row],[PPN 10%]]+Table5[[#This Row],[Other cost]]</f>
        <v>0</v>
      </c>
      <c r="AB7" s="75" t="s">
        <v>1025</v>
      </c>
      <c r="AC7" s="75" t="s">
        <v>3194</v>
      </c>
      <c r="AD7" s="75" t="s">
        <v>3189</v>
      </c>
      <c r="AE7" s="75" t="s">
        <v>976</v>
      </c>
      <c r="AF7" s="73" t="s">
        <v>3178</v>
      </c>
    </row>
    <row r="8" spans="1:32" s="73" customFormat="1" x14ac:dyDescent="0.25">
      <c r="A8" s="87">
        <f t="shared" si="0"/>
        <v>4</v>
      </c>
      <c r="B8" s="88" t="s">
        <v>3166</v>
      </c>
      <c r="C8" s="89" t="s">
        <v>3195</v>
      </c>
      <c r="D8" s="88" t="s">
        <v>1169</v>
      </c>
      <c r="E8" s="92" t="s">
        <v>3196</v>
      </c>
      <c r="F8" s="88" t="s">
        <v>3197</v>
      </c>
      <c r="G8" s="88" t="s">
        <v>919</v>
      </c>
      <c r="H8" s="88" t="s">
        <v>3198</v>
      </c>
      <c r="I8" s="88" t="s">
        <v>3171</v>
      </c>
      <c r="J8" s="91" t="s">
        <v>3199</v>
      </c>
      <c r="K8" s="92" t="s">
        <v>3173</v>
      </c>
      <c r="L8" s="92" t="s">
        <v>3174</v>
      </c>
      <c r="M8" s="90"/>
      <c r="N8" s="99">
        <v>43941</v>
      </c>
      <c r="O8" s="92" t="s">
        <v>3193</v>
      </c>
      <c r="P8" s="100">
        <v>287497530</v>
      </c>
      <c r="Q8" s="94"/>
      <c r="R8" s="94"/>
      <c r="S8" s="90"/>
      <c r="T8" s="95"/>
      <c r="U8" s="95"/>
      <c r="V8" s="95"/>
      <c r="W8" s="95"/>
      <c r="X8" s="95"/>
      <c r="Y8" s="95"/>
      <c r="Z8" s="96">
        <f>Table5[[#This Row],[Tax]]+Table5[[#This Row],[License]]+Table5[[#This Row],[Transport.]]+Table5[[#This Row],[Agency Fee]]+Table5[[#This Row],[PPN 10%]]+Table5[[#This Row],[Other cost]]</f>
        <v>0</v>
      </c>
      <c r="AB8" s="73" t="s">
        <v>3200</v>
      </c>
      <c r="AC8" s="73" t="s">
        <v>3201</v>
      </c>
      <c r="AD8" s="73" t="s">
        <v>1128</v>
      </c>
      <c r="AE8" s="73" t="s">
        <v>919</v>
      </c>
      <c r="AF8" s="73" t="s">
        <v>3178</v>
      </c>
    </row>
    <row r="9" spans="1:32" s="73" customFormat="1" x14ac:dyDescent="0.25">
      <c r="A9" s="87">
        <f t="shared" si="0"/>
        <v>5</v>
      </c>
      <c r="B9" s="88" t="s">
        <v>3166</v>
      </c>
      <c r="C9" s="89" t="s">
        <v>3202</v>
      </c>
      <c r="D9" s="88" t="s">
        <v>1169</v>
      </c>
      <c r="E9" s="92" t="s">
        <v>3203</v>
      </c>
      <c r="F9" s="88" t="s">
        <v>975</v>
      </c>
      <c r="G9" s="88" t="s">
        <v>919</v>
      </c>
      <c r="H9" s="88" t="s">
        <v>3198</v>
      </c>
      <c r="I9" s="88" t="s">
        <v>3171</v>
      </c>
      <c r="J9" s="91" t="s">
        <v>3199</v>
      </c>
      <c r="K9" s="92" t="s">
        <v>3173</v>
      </c>
      <c r="L9" s="92" t="s">
        <v>3174</v>
      </c>
      <c r="M9" s="90"/>
      <c r="N9" s="93" t="s">
        <v>3204</v>
      </c>
      <c r="O9" s="92"/>
      <c r="P9" s="100"/>
      <c r="Q9" s="94"/>
      <c r="R9" s="94"/>
      <c r="S9" s="90"/>
      <c r="T9" s="95"/>
      <c r="U9" s="95"/>
      <c r="V9" s="95"/>
      <c r="W9" s="95"/>
      <c r="X9" s="95"/>
      <c r="Y9" s="95"/>
      <c r="Z9" s="96">
        <f>Table5[[#This Row],[Tax]]+Table5[[#This Row],[License]]+Table5[[#This Row],[Transport.]]+Table5[[#This Row],[Agency Fee]]+Table5[[#This Row],[PPN 10%]]+Table5[[#This Row],[Other cost]]</f>
        <v>0</v>
      </c>
      <c r="AB9" s="73" t="s">
        <v>1169</v>
      </c>
      <c r="AC9" s="73" t="s">
        <v>3205</v>
      </c>
      <c r="AD9" s="73" t="s">
        <v>975</v>
      </c>
      <c r="AE9" s="75" t="s">
        <v>976</v>
      </c>
      <c r="AF9" s="73" t="s">
        <v>3178</v>
      </c>
    </row>
    <row r="10" spans="1:32" s="73" customFormat="1" x14ac:dyDescent="0.25">
      <c r="A10" s="87">
        <f>+A9+1</f>
        <v>6</v>
      </c>
      <c r="B10" s="88" t="s">
        <v>3166</v>
      </c>
      <c r="C10" s="89" t="s">
        <v>3206</v>
      </c>
      <c r="D10" s="88" t="s">
        <v>129</v>
      </c>
      <c r="E10" s="92" t="s">
        <v>3207</v>
      </c>
      <c r="F10" s="88" t="s">
        <v>109</v>
      </c>
      <c r="G10" s="88" t="s">
        <v>91</v>
      </c>
      <c r="H10" s="88" t="s">
        <v>3208</v>
      </c>
      <c r="I10" s="88" t="s">
        <v>3209</v>
      </c>
      <c r="J10" s="91"/>
      <c r="K10" s="92" t="s">
        <v>3210</v>
      </c>
      <c r="L10" s="92" t="s">
        <v>3211</v>
      </c>
      <c r="M10" s="92"/>
      <c r="N10" s="99">
        <v>45175</v>
      </c>
      <c r="O10" s="92"/>
      <c r="P10" s="90"/>
      <c r="Q10" s="94"/>
      <c r="R10" s="94"/>
      <c r="S10" s="90"/>
      <c r="T10" s="95"/>
      <c r="U10" s="95"/>
      <c r="V10" s="95"/>
      <c r="W10" s="95"/>
      <c r="X10" s="95"/>
      <c r="Y10" s="95"/>
      <c r="Z10" s="101">
        <f>Table5[[#This Row],[Tax]]+Table5[[#This Row],[License]]+Table5[[#This Row],[Transport.]]+Table5[[#This Row],[Agency Fee]]+Table5[[#This Row],[PPN 10%]]+Table5[[#This Row],[Other cost]]</f>
        <v>0</v>
      </c>
      <c r="AB10" s="73" t="s">
        <v>129</v>
      </c>
      <c r="AC10" s="73" t="s">
        <v>3207</v>
      </c>
      <c r="AD10" s="73" t="s">
        <v>109</v>
      </c>
      <c r="AE10" s="75" t="s">
        <v>91</v>
      </c>
      <c r="AF10" s="73" t="s">
        <v>3178</v>
      </c>
    </row>
    <row r="11" spans="1:32" s="73" customFormat="1" ht="15" hidden="1" customHeight="1" x14ac:dyDescent="0.25">
      <c r="A11" s="87">
        <v>1</v>
      </c>
      <c r="B11" s="88" t="s">
        <v>3212</v>
      </c>
      <c r="C11" s="89" t="s">
        <v>3213</v>
      </c>
      <c r="D11" s="102" t="s">
        <v>3214</v>
      </c>
      <c r="E11" s="103" t="s">
        <v>3215</v>
      </c>
      <c r="F11" s="103" t="s">
        <v>672</v>
      </c>
      <c r="G11" s="103" t="s">
        <v>517</v>
      </c>
      <c r="H11" s="103" t="s">
        <v>3216</v>
      </c>
      <c r="I11" s="103" t="s">
        <v>3171</v>
      </c>
      <c r="J11" s="103" t="s">
        <v>3217</v>
      </c>
      <c r="K11" s="92" t="s">
        <v>3173</v>
      </c>
      <c r="L11" s="92" t="s">
        <v>3174</v>
      </c>
      <c r="M11" s="92"/>
      <c r="N11" s="99">
        <v>42184</v>
      </c>
      <c r="O11" s="92"/>
      <c r="P11" s="90"/>
      <c r="Q11" s="94"/>
      <c r="R11" s="94"/>
      <c r="S11" s="90"/>
      <c r="T11" s="95"/>
      <c r="U11" s="95"/>
      <c r="V11" s="95"/>
      <c r="W11" s="95"/>
      <c r="X11" s="95"/>
      <c r="Y11" s="95"/>
      <c r="Z11" s="96">
        <f>Table5[[#This Row],[Tax]]+Table5[[#This Row],[License]]+Table5[[#This Row],[Transport.]]+Table5[[#This Row],[Agency Fee]]+Table5[[#This Row],[PPN 10%]]+Table5[[#This Row],[Other cost]]</f>
        <v>0</v>
      </c>
      <c r="AB11" s="73" t="s">
        <v>3214</v>
      </c>
      <c r="AC11" s="73" t="s">
        <v>3218</v>
      </c>
      <c r="AD11" s="73" t="s">
        <v>672</v>
      </c>
      <c r="AE11" s="73" t="s">
        <v>612</v>
      </c>
      <c r="AF11" s="73" t="s">
        <v>3178</v>
      </c>
    </row>
    <row r="12" spans="1:32" s="73" customFormat="1" hidden="1" x14ac:dyDescent="0.25">
      <c r="A12" s="87">
        <f t="shared" si="0"/>
        <v>2</v>
      </c>
      <c r="B12" s="88" t="s">
        <v>3212</v>
      </c>
      <c r="C12" s="89" t="s">
        <v>3219</v>
      </c>
      <c r="D12" s="88" t="s">
        <v>3220</v>
      </c>
      <c r="E12" s="90" t="s">
        <v>3221</v>
      </c>
      <c r="F12" s="88" t="s">
        <v>686</v>
      </c>
      <c r="G12" s="88" t="s">
        <v>517</v>
      </c>
      <c r="H12" s="88" t="s">
        <v>3222</v>
      </c>
      <c r="I12" s="88" t="s">
        <v>3223</v>
      </c>
      <c r="J12" s="91" t="s">
        <v>3224</v>
      </c>
      <c r="K12" s="92" t="s">
        <v>3173</v>
      </c>
      <c r="L12" s="92" t="s">
        <v>3174</v>
      </c>
      <c r="M12" s="92"/>
      <c r="N12" s="93" t="s">
        <v>3225</v>
      </c>
      <c r="O12" s="92"/>
      <c r="P12" s="90"/>
      <c r="Q12" s="94"/>
      <c r="R12" s="94"/>
      <c r="S12" s="90"/>
      <c r="T12" s="95"/>
      <c r="U12" s="95"/>
      <c r="V12" s="95"/>
      <c r="W12" s="95"/>
      <c r="X12" s="95"/>
      <c r="Y12" s="95"/>
      <c r="Z12" s="96">
        <f>Table5[[#This Row],[Tax]]+Table5[[#This Row],[License]]+Table5[[#This Row],[Transport.]]+Table5[[#This Row],[Agency Fee]]+Table5[[#This Row],[PPN 10%]]+Table5[[#This Row],[Other cost]]</f>
        <v>0</v>
      </c>
      <c r="AB12" s="73" t="s">
        <v>3220</v>
      </c>
      <c r="AC12" s="73" t="s">
        <v>3226</v>
      </c>
      <c r="AD12" s="73" t="s">
        <v>686</v>
      </c>
      <c r="AE12" s="73" t="s">
        <v>612</v>
      </c>
      <c r="AF12" s="73" t="s">
        <v>3178</v>
      </c>
    </row>
    <row r="13" spans="1:32" s="73" customFormat="1" hidden="1" x14ac:dyDescent="0.25">
      <c r="A13" s="87">
        <f t="shared" si="0"/>
        <v>3</v>
      </c>
      <c r="B13" s="88" t="s">
        <v>3212</v>
      </c>
      <c r="C13" s="89" t="s">
        <v>3227</v>
      </c>
      <c r="D13" s="88" t="s">
        <v>3228</v>
      </c>
      <c r="E13" s="90" t="s">
        <v>3229</v>
      </c>
      <c r="F13" s="88" t="s">
        <v>686</v>
      </c>
      <c r="G13" s="88" t="s">
        <v>517</v>
      </c>
      <c r="H13" s="88" t="s">
        <v>3171</v>
      </c>
      <c r="I13" s="88" t="s">
        <v>3171</v>
      </c>
      <c r="J13" s="91" t="s">
        <v>3230</v>
      </c>
      <c r="K13" s="92" t="s">
        <v>3173</v>
      </c>
      <c r="L13" s="92" t="s">
        <v>3174</v>
      </c>
      <c r="M13" s="92"/>
      <c r="N13" s="93" t="s">
        <v>3225</v>
      </c>
      <c r="O13" s="92"/>
      <c r="P13" s="90"/>
      <c r="Q13" s="94"/>
      <c r="R13" s="94"/>
      <c r="S13" s="90"/>
      <c r="T13" s="95"/>
      <c r="U13" s="95"/>
      <c r="V13" s="95"/>
      <c r="W13" s="95"/>
      <c r="X13" s="95"/>
      <c r="Y13" s="95"/>
      <c r="Z13" s="96">
        <f>Table5[[#This Row],[Tax]]+Table5[[#This Row],[License]]+Table5[[#This Row],[Transport.]]+Table5[[#This Row],[Agency Fee]]+Table5[[#This Row],[PPN 10%]]+Table5[[#This Row],[Other cost]]</f>
        <v>0</v>
      </c>
      <c r="AB13" s="73" t="s">
        <v>3228</v>
      </c>
      <c r="AC13" s="73" t="s">
        <v>3231</v>
      </c>
      <c r="AD13" s="73" t="s">
        <v>686</v>
      </c>
      <c r="AE13" s="73" t="s">
        <v>612</v>
      </c>
      <c r="AF13" s="73" t="s">
        <v>3178</v>
      </c>
    </row>
    <row r="14" spans="1:32" s="73" customFormat="1" hidden="1" x14ac:dyDescent="0.25">
      <c r="A14" s="87">
        <f t="shared" si="0"/>
        <v>4</v>
      </c>
      <c r="B14" s="88" t="s">
        <v>3212</v>
      </c>
      <c r="C14" s="89" t="s">
        <v>3232</v>
      </c>
      <c r="D14" s="88" t="s">
        <v>3233</v>
      </c>
      <c r="E14" s="90" t="s">
        <v>3234</v>
      </c>
      <c r="F14" s="88" t="s">
        <v>3235</v>
      </c>
      <c r="G14" s="88" t="s">
        <v>517</v>
      </c>
      <c r="H14" s="88" t="s">
        <v>3236</v>
      </c>
      <c r="I14" s="88" t="s">
        <v>3171</v>
      </c>
      <c r="J14" s="91" t="s">
        <v>3237</v>
      </c>
      <c r="K14" s="92" t="s">
        <v>3173</v>
      </c>
      <c r="L14" s="92" t="s">
        <v>3174</v>
      </c>
      <c r="M14" s="92"/>
      <c r="N14" s="93" t="s">
        <v>3225</v>
      </c>
      <c r="O14" s="92"/>
      <c r="P14" s="90"/>
      <c r="Q14" s="94"/>
      <c r="R14" s="94"/>
      <c r="S14" s="90"/>
      <c r="T14" s="95"/>
      <c r="U14" s="95"/>
      <c r="V14" s="95"/>
      <c r="W14" s="95"/>
      <c r="X14" s="95"/>
      <c r="Y14" s="95"/>
      <c r="Z14" s="96">
        <f>Table5[[#This Row],[Tax]]+Table5[[#This Row],[License]]+Table5[[#This Row],[Transport.]]+Table5[[#This Row],[Agency Fee]]+Table5[[#This Row],[PPN 10%]]+Table5[[#This Row],[Other cost]]</f>
        <v>0</v>
      </c>
      <c r="AB14" s="73" t="s">
        <v>3233</v>
      </c>
      <c r="AC14" s="73" t="s">
        <v>3238</v>
      </c>
      <c r="AD14" s="73" t="s">
        <v>582</v>
      </c>
      <c r="AE14" s="73" t="s">
        <v>291</v>
      </c>
      <c r="AF14" s="73" t="s">
        <v>3178</v>
      </c>
    </row>
    <row r="15" spans="1:32" s="73" customFormat="1" hidden="1" x14ac:dyDescent="0.25">
      <c r="A15" s="87">
        <f t="shared" si="0"/>
        <v>5</v>
      </c>
      <c r="B15" s="88" t="s">
        <v>3212</v>
      </c>
      <c r="C15" s="89" t="s">
        <v>3239</v>
      </c>
      <c r="D15" s="88" t="s">
        <v>3240</v>
      </c>
      <c r="E15" s="90" t="s">
        <v>3241</v>
      </c>
      <c r="F15" s="88" t="s">
        <v>3242</v>
      </c>
      <c r="G15" s="88" t="s">
        <v>919</v>
      </c>
      <c r="H15" s="88" t="s">
        <v>3243</v>
      </c>
      <c r="I15" s="88" t="s">
        <v>3171</v>
      </c>
      <c r="J15" s="91" t="s">
        <v>3244</v>
      </c>
      <c r="K15" s="92" t="s">
        <v>3173</v>
      </c>
      <c r="L15" s="92" t="s">
        <v>3174</v>
      </c>
      <c r="M15" s="92"/>
      <c r="N15" s="93" t="s">
        <v>3175</v>
      </c>
      <c r="O15" s="92"/>
      <c r="P15" s="90"/>
      <c r="Q15" s="94"/>
      <c r="R15" s="94"/>
      <c r="S15" s="90"/>
      <c r="T15" s="95"/>
      <c r="U15" s="95"/>
      <c r="V15" s="95"/>
      <c r="W15" s="95"/>
      <c r="X15" s="95"/>
      <c r="Y15" s="95"/>
      <c r="Z15" s="96">
        <f>Table5[[#This Row],[Tax]]+Table5[[#This Row],[License]]+Table5[[#This Row],[Transport.]]+Table5[[#This Row],[Agency Fee]]+Table5[[#This Row],[PPN 10%]]+Table5[[#This Row],[Other cost]]</f>
        <v>0</v>
      </c>
      <c r="AB15" s="73" t="s">
        <v>3240</v>
      </c>
      <c r="AC15" s="73" t="s">
        <v>3245</v>
      </c>
      <c r="AD15" s="73" t="s">
        <v>975</v>
      </c>
      <c r="AE15" s="73" t="s">
        <v>976</v>
      </c>
      <c r="AF15" s="73" t="s">
        <v>3178</v>
      </c>
    </row>
    <row r="16" spans="1:32" s="73" customFormat="1" hidden="1" x14ac:dyDescent="0.25">
      <c r="A16" s="87">
        <f t="shared" si="0"/>
        <v>6</v>
      </c>
      <c r="B16" s="88" t="s">
        <v>3212</v>
      </c>
      <c r="C16" s="89" t="s">
        <v>3246</v>
      </c>
      <c r="D16" s="88" t="s">
        <v>3247</v>
      </c>
      <c r="E16" s="90" t="s">
        <v>3248</v>
      </c>
      <c r="F16" s="88" t="s">
        <v>1214</v>
      </c>
      <c r="G16" s="88" t="s">
        <v>1216</v>
      </c>
      <c r="H16" s="88" t="s">
        <v>3249</v>
      </c>
      <c r="I16" s="88" t="s">
        <v>1214</v>
      </c>
      <c r="J16" s="91" t="s">
        <v>3250</v>
      </c>
      <c r="K16" s="92" t="s">
        <v>3173</v>
      </c>
      <c r="L16" s="92" t="s">
        <v>3174</v>
      </c>
      <c r="M16" s="92"/>
      <c r="N16" s="93" t="s">
        <v>3185</v>
      </c>
      <c r="O16" s="92"/>
      <c r="P16" s="90"/>
      <c r="Q16" s="94"/>
      <c r="R16" s="94"/>
      <c r="S16" s="90"/>
      <c r="T16" s="95"/>
      <c r="U16" s="95"/>
      <c r="V16" s="95"/>
      <c r="W16" s="95"/>
      <c r="X16" s="95"/>
      <c r="Y16" s="95"/>
      <c r="Z16" s="96">
        <f>Table5[[#This Row],[Tax]]+Table5[[#This Row],[License]]+Table5[[#This Row],[Transport.]]+Table5[[#This Row],[Agency Fee]]+Table5[[#This Row],[PPN 10%]]+Table5[[#This Row],[Other cost]]</f>
        <v>0</v>
      </c>
      <c r="AB16" s="73" t="s">
        <v>3247</v>
      </c>
      <c r="AC16" s="73" t="s">
        <v>3251</v>
      </c>
      <c r="AD16" s="73" t="s">
        <v>1214</v>
      </c>
      <c r="AE16" s="73" t="s">
        <v>1216</v>
      </c>
      <c r="AF16" s="73" t="s">
        <v>3178</v>
      </c>
    </row>
    <row r="17" spans="1:32" s="73" customFormat="1" hidden="1" x14ac:dyDescent="0.25">
      <c r="A17" s="87">
        <f t="shared" si="0"/>
        <v>7</v>
      </c>
      <c r="B17" s="88" t="s">
        <v>3212</v>
      </c>
      <c r="C17" s="89" t="s">
        <v>3252</v>
      </c>
      <c r="D17" s="88" t="s">
        <v>3253</v>
      </c>
      <c r="E17" s="92" t="s">
        <v>3254</v>
      </c>
      <c r="F17" s="88" t="s">
        <v>1511</v>
      </c>
      <c r="G17" s="88" t="s">
        <v>1512</v>
      </c>
      <c r="H17" s="88" t="s">
        <v>3255</v>
      </c>
      <c r="I17" s="88" t="s">
        <v>3171</v>
      </c>
      <c r="J17" s="91" t="s">
        <v>3256</v>
      </c>
      <c r="K17" s="92" t="s">
        <v>3173</v>
      </c>
      <c r="L17" s="92" t="s">
        <v>3174</v>
      </c>
      <c r="M17" s="92"/>
      <c r="N17" s="93" t="s">
        <v>3257</v>
      </c>
      <c r="O17" s="92"/>
      <c r="P17" s="90"/>
      <c r="Q17" s="94"/>
      <c r="R17" s="94"/>
      <c r="S17" s="90"/>
      <c r="T17" s="95"/>
      <c r="U17" s="95"/>
      <c r="V17" s="95"/>
      <c r="W17" s="95"/>
      <c r="X17" s="95"/>
      <c r="Y17" s="95"/>
      <c r="Z17" s="96">
        <f>Table5[[#This Row],[Tax]]+Table5[[#This Row],[License]]+Table5[[#This Row],[Transport.]]+Table5[[#This Row],[Agency Fee]]+Table5[[#This Row],[PPN 10%]]+Table5[[#This Row],[Other cost]]</f>
        <v>0</v>
      </c>
      <c r="AB17" s="73" t="s">
        <v>3253</v>
      </c>
      <c r="AC17" s="73" t="s">
        <v>3258</v>
      </c>
      <c r="AD17" s="73" t="s">
        <v>1511</v>
      </c>
      <c r="AE17" s="73" t="s">
        <v>1512</v>
      </c>
      <c r="AF17" s="73" t="s">
        <v>3178</v>
      </c>
    </row>
    <row r="18" spans="1:32" s="73" customFormat="1" hidden="1" x14ac:dyDescent="0.25">
      <c r="A18" s="87">
        <f t="shared" si="0"/>
        <v>8</v>
      </c>
      <c r="B18" s="88" t="s">
        <v>3212</v>
      </c>
      <c r="C18" s="89" t="s">
        <v>3259</v>
      </c>
      <c r="D18" s="88" t="s">
        <v>3260</v>
      </c>
      <c r="E18" s="90" t="s">
        <v>3261</v>
      </c>
      <c r="F18" s="88" t="s">
        <v>1856</v>
      </c>
      <c r="G18" s="88" t="s">
        <v>1857</v>
      </c>
      <c r="H18" s="88" t="s">
        <v>3262</v>
      </c>
      <c r="I18" s="88" t="s">
        <v>1856</v>
      </c>
      <c r="J18" s="91" t="s">
        <v>3263</v>
      </c>
      <c r="K18" s="88" t="s">
        <v>3264</v>
      </c>
      <c r="L18" s="92" t="s">
        <v>3262</v>
      </c>
      <c r="M18" s="104" t="s">
        <v>3265</v>
      </c>
      <c r="N18" s="93" t="s">
        <v>3175</v>
      </c>
      <c r="O18" s="92"/>
      <c r="P18" s="90"/>
      <c r="Q18" s="94"/>
      <c r="R18" s="94"/>
      <c r="S18" s="90"/>
      <c r="T18" s="95"/>
      <c r="U18" s="95"/>
      <c r="V18" s="95"/>
      <c r="W18" s="95"/>
      <c r="X18" s="95"/>
      <c r="Y18" s="95"/>
      <c r="Z18" s="96">
        <f>Table5[[#This Row],[Tax]]+Table5[[#This Row],[License]]+Table5[[#This Row],[Transport.]]+Table5[[#This Row],[Agency Fee]]+Table5[[#This Row],[PPN 10%]]+Table5[[#This Row],[Other cost]]</f>
        <v>0</v>
      </c>
      <c r="AB18" s="73" t="s">
        <v>3260</v>
      </c>
      <c r="AC18" s="73" t="s">
        <v>3266</v>
      </c>
      <c r="AD18" s="73" t="s">
        <v>1856</v>
      </c>
      <c r="AE18" s="73" t="s">
        <v>1857</v>
      </c>
      <c r="AF18" s="73" t="s">
        <v>3178</v>
      </c>
    </row>
    <row r="19" spans="1:32" s="73" customFormat="1" hidden="1" x14ac:dyDescent="0.25">
      <c r="A19" s="87">
        <f t="shared" si="0"/>
        <v>9</v>
      </c>
      <c r="B19" s="88" t="s">
        <v>3212</v>
      </c>
      <c r="C19" s="89" t="s">
        <v>3267</v>
      </c>
      <c r="D19" s="88" t="s">
        <v>3260</v>
      </c>
      <c r="E19" s="90" t="s">
        <v>3268</v>
      </c>
      <c r="F19" s="88" t="s">
        <v>1641</v>
      </c>
      <c r="G19" s="88" t="s">
        <v>1642</v>
      </c>
      <c r="H19" s="88" t="s">
        <v>3262</v>
      </c>
      <c r="I19" s="88" t="s">
        <v>1856</v>
      </c>
      <c r="J19" s="91" t="s">
        <v>3269</v>
      </c>
      <c r="K19" s="88" t="s">
        <v>3264</v>
      </c>
      <c r="L19" s="92" t="s">
        <v>3262</v>
      </c>
      <c r="M19" s="104" t="s">
        <v>3270</v>
      </c>
      <c r="N19" s="93" t="s">
        <v>3257</v>
      </c>
      <c r="O19" s="92"/>
      <c r="P19" s="90"/>
      <c r="Q19" s="94"/>
      <c r="R19" s="94"/>
      <c r="S19" s="90"/>
      <c r="T19" s="95"/>
      <c r="U19" s="95"/>
      <c r="V19" s="95"/>
      <c r="W19" s="95"/>
      <c r="X19" s="95"/>
      <c r="Y19" s="95"/>
      <c r="Z19" s="96">
        <f>Table5[[#This Row],[Tax]]+Table5[[#This Row],[License]]+Table5[[#This Row],[Transport.]]+Table5[[#This Row],[Agency Fee]]+Table5[[#This Row],[PPN 10%]]+Table5[[#This Row],[Other cost]]</f>
        <v>0</v>
      </c>
      <c r="AB19" s="73" t="s">
        <v>3260</v>
      </c>
      <c r="AC19" s="73" t="s">
        <v>3271</v>
      </c>
      <c r="AD19" s="73" t="s">
        <v>1648</v>
      </c>
      <c r="AE19" s="73" t="s">
        <v>1642</v>
      </c>
      <c r="AF19" s="73" t="s">
        <v>3178</v>
      </c>
    </row>
    <row r="20" spans="1:32" s="73" customFormat="1" hidden="1" x14ac:dyDescent="0.25">
      <c r="A20" s="87">
        <f t="shared" si="0"/>
        <v>10</v>
      </c>
      <c r="B20" s="88" t="s">
        <v>3212</v>
      </c>
      <c r="C20" s="89" t="s">
        <v>3272</v>
      </c>
      <c r="D20" s="88" t="s">
        <v>3273</v>
      </c>
      <c r="E20" s="90" t="s">
        <v>3274</v>
      </c>
      <c r="F20" s="88" t="s">
        <v>1989</v>
      </c>
      <c r="G20" s="88" t="s">
        <v>1982</v>
      </c>
      <c r="H20" s="88" t="s">
        <v>3171</v>
      </c>
      <c r="I20" s="88" t="s">
        <v>3171</v>
      </c>
      <c r="J20" s="91" t="s">
        <v>3275</v>
      </c>
      <c r="K20" s="92" t="s">
        <v>3173</v>
      </c>
      <c r="L20" s="92" t="s">
        <v>3174</v>
      </c>
      <c r="M20" s="92"/>
      <c r="N20" s="93" t="s">
        <v>3225</v>
      </c>
      <c r="O20" s="92"/>
      <c r="P20" s="90"/>
      <c r="Q20" s="94"/>
      <c r="R20" s="94"/>
      <c r="S20" s="90"/>
      <c r="T20" s="95"/>
      <c r="U20" s="95"/>
      <c r="V20" s="95"/>
      <c r="W20" s="95"/>
      <c r="X20" s="95"/>
      <c r="Y20" s="95"/>
      <c r="Z20" s="96">
        <f>Table5[[#This Row],[Tax]]+Table5[[#This Row],[License]]+Table5[[#This Row],[Transport.]]+Table5[[#This Row],[Agency Fee]]+Table5[[#This Row],[PPN 10%]]+Table5[[#This Row],[Other cost]]</f>
        <v>0</v>
      </c>
      <c r="AB20" s="73" t="s">
        <v>3273</v>
      </c>
      <c r="AC20" s="73" t="s">
        <v>3276</v>
      </c>
      <c r="AD20" s="73" t="s">
        <v>1989</v>
      </c>
      <c r="AE20" s="73" t="s">
        <v>1982</v>
      </c>
      <c r="AF20" s="73" t="s">
        <v>3178</v>
      </c>
    </row>
    <row r="21" spans="1:32" hidden="1" x14ac:dyDescent="0.25">
      <c r="A21" s="87">
        <f t="shared" si="0"/>
        <v>11</v>
      </c>
      <c r="B21" s="105" t="s">
        <v>3212</v>
      </c>
      <c r="C21" s="106" t="s">
        <v>3277</v>
      </c>
      <c r="D21" s="105" t="s">
        <v>3278</v>
      </c>
      <c r="E21" s="107" t="s">
        <v>3279</v>
      </c>
      <c r="F21" s="105" t="s">
        <v>679</v>
      </c>
      <c r="G21" s="105" t="s">
        <v>517</v>
      </c>
      <c r="H21" s="105" t="s">
        <v>3174</v>
      </c>
      <c r="I21" s="105" t="s">
        <v>3280</v>
      </c>
      <c r="J21" s="108" t="s">
        <v>3281</v>
      </c>
      <c r="K21" s="109" t="s">
        <v>3173</v>
      </c>
      <c r="L21" s="109" t="s">
        <v>3174</v>
      </c>
      <c r="M21" s="109"/>
      <c r="N21" s="110" t="s">
        <v>3225</v>
      </c>
      <c r="O21" s="109"/>
      <c r="P21" s="107"/>
      <c r="Q21" s="111"/>
      <c r="R21" s="111"/>
      <c r="S21" s="107"/>
      <c r="T21" s="112"/>
      <c r="U21" s="112"/>
      <c r="V21" s="112"/>
      <c r="W21" s="112"/>
      <c r="X21" s="112"/>
      <c r="Y21" s="112"/>
      <c r="Z21" s="113">
        <f>Table5[[#This Row],[Tax]]+Table5[[#This Row],[License]]+Table5[[#This Row],[Transport.]]+Table5[[#This Row],[Agency Fee]]+Table5[[#This Row],[PPN 10%]]+Table5[[#This Row],[Other cost]]</f>
        <v>0</v>
      </c>
      <c r="AB21" s="75" t="s">
        <v>3278</v>
      </c>
      <c r="AC21" s="75" t="s">
        <v>3282</v>
      </c>
      <c r="AD21" s="75" t="s">
        <v>679</v>
      </c>
      <c r="AE21" s="75" t="s">
        <v>612</v>
      </c>
      <c r="AF21" s="73" t="s">
        <v>3178</v>
      </c>
    </row>
    <row r="22" spans="1:32" s="73" customFormat="1" hidden="1" x14ac:dyDescent="0.25">
      <c r="A22" s="87">
        <f t="shared" si="0"/>
        <v>12</v>
      </c>
      <c r="B22" s="88" t="s">
        <v>3212</v>
      </c>
      <c r="C22" s="89" t="s">
        <v>3283</v>
      </c>
      <c r="D22" s="88" t="s">
        <v>3284</v>
      </c>
      <c r="E22" s="90" t="s">
        <v>3285</v>
      </c>
      <c r="F22" s="88" t="s">
        <v>1648</v>
      </c>
      <c r="G22" s="88" t="s">
        <v>1642</v>
      </c>
      <c r="H22" s="88" t="s">
        <v>3286</v>
      </c>
      <c r="I22" s="88" t="s">
        <v>1648</v>
      </c>
      <c r="J22" s="91" t="s">
        <v>3287</v>
      </c>
      <c r="K22" s="88" t="s">
        <v>3264</v>
      </c>
      <c r="L22" s="92" t="s">
        <v>3262</v>
      </c>
      <c r="M22" s="104" t="s">
        <v>3270</v>
      </c>
      <c r="N22" s="114">
        <v>44864</v>
      </c>
      <c r="O22" s="92" t="s">
        <v>3288</v>
      </c>
      <c r="P22" s="95">
        <v>27645000</v>
      </c>
      <c r="Q22" s="94"/>
      <c r="R22" s="94"/>
      <c r="S22" s="90"/>
      <c r="T22" s="95"/>
      <c r="U22" s="95"/>
      <c r="V22" s="95"/>
      <c r="W22" s="95"/>
      <c r="X22" s="95"/>
      <c r="Y22" s="95"/>
      <c r="Z22" s="96" t="e">
        <f>Table5[[#This Row],[Tax]]+Table5[[#This Row],[License]]+Table5[[#This Row],[Transport.]]+Table5[[#This Row],[Agency Fee]]+Table5[[#This Row],[PPN 10%]]+Table5[[#This Row],[Other cost]]</f>
        <v>#VALUE!</v>
      </c>
      <c r="AB22" s="73" t="s">
        <v>3260</v>
      </c>
      <c r="AC22" s="73" t="s">
        <v>3271</v>
      </c>
      <c r="AD22" s="73" t="s">
        <v>1648</v>
      </c>
      <c r="AE22" s="73" t="s">
        <v>1642</v>
      </c>
      <c r="AF22" s="73" t="s">
        <v>3178</v>
      </c>
    </row>
    <row r="23" spans="1:32" hidden="1" x14ac:dyDescent="0.25"/>
    <row r="24" spans="1:32" hidden="1" x14ac:dyDescent="0.25">
      <c r="B24" s="75" t="s">
        <v>3289</v>
      </c>
      <c r="C24" s="5">
        <f>COUNTIF(Table5[Kategori Toko],"Falken Shop")</f>
        <v>6</v>
      </c>
    </row>
    <row r="25" spans="1:32" hidden="1" x14ac:dyDescent="0.25">
      <c r="B25" s="116" t="s">
        <v>3290</v>
      </c>
      <c r="C25" s="117">
        <f>COUNTIF(B5:B22,"Falken Signboard")</f>
        <v>12</v>
      </c>
      <c r="D25" s="75"/>
      <c r="J25" s="118"/>
      <c r="K25" s="75"/>
      <c r="L25" s="75"/>
    </row>
    <row r="26" spans="1:32" hidden="1" x14ac:dyDescent="0.25">
      <c r="C26" s="5">
        <f>SUM(C24:C25)</f>
        <v>18</v>
      </c>
      <c r="D26" s="75"/>
      <c r="J26" s="118"/>
      <c r="K26" s="75"/>
      <c r="L26" s="75"/>
    </row>
    <row r="27" spans="1:32" hidden="1" x14ac:dyDescent="0.25">
      <c r="D27" s="119" t="s">
        <v>3291</v>
      </c>
      <c r="J27" s="118"/>
      <c r="K27" s="75"/>
      <c r="L27" s="75"/>
    </row>
    <row r="28" spans="1:32" x14ac:dyDescent="0.25">
      <c r="D28" s="75"/>
      <c r="J28" s="118"/>
      <c r="K28" s="75"/>
      <c r="L28" s="75"/>
    </row>
    <row r="29" spans="1:32" x14ac:dyDescent="0.25">
      <c r="D29" s="75"/>
      <c r="J29" s="118"/>
      <c r="K29" s="75"/>
      <c r="L29" s="75"/>
    </row>
    <row r="30" spans="1:32" x14ac:dyDescent="0.25">
      <c r="D30" s="75"/>
      <c r="J30" s="118"/>
      <c r="K30" s="75"/>
      <c r="L30" s="75"/>
    </row>
    <row r="31" spans="1:32" x14ac:dyDescent="0.25">
      <c r="D31" s="75"/>
      <c r="J31" s="118"/>
      <c r="K31" s="75"/>
      <c r="L31" s="75"/>
    </row>
    <row r="32" spans="1:32" x14ac:dyDescent="0.25">
      <c r="D32" s="75"/>
      <c r="J32" s="118"/>
      <c r="K32" s="75"/>
      <c r="L32" s="75"/>
    </row>
    <row r="33" spans="4:12" x14ac:dyDescent="0.25">
      <c r="D33" s="75"/>
      <c r="J33" s="118"/>
      <c r="K33" s="75"/>
      <c r="L33" s="75"/>
    </row>
    <row r="34" spans="4:12" x14ac:dyDescent="0.25">
      <c r="D34" s="75"/>
      <c r="J34" s="118"/>
      <c r="K34" s="75"/>
      <c r="L34" s="75"/>
    </row>
    <row r="35" spans="4:12" x14ac:dyDescent="0.25">
      <c r="D35" s="75"/>
      <c r="J35" s="118"/>
      <c r="K35" s="75"/>
      <c r="L35" s="75"/>
    </row>
    <row r="36" spans="4:12" x14ac:dyDescent="0.25">
      <c r="D36" s="75"/>
      <c r="J36" s="118"/>
      <c r="K36" s="75"/>
      <c r="L36" s="75"/>
    </row>
    <row r="37" spans="4:12" x14ac:dyDescent="0.25">
      <c r="D37" s="75"/>
      <c r="J37" s="118"/>
      <c r="K37" s="75"/>
      <c r="L37" s="75"/>
    </row>
  </sheetData>
  <mergeCells count="1">
    <mergeCell ref="Q3:Z3"/>
  </mergeCells>
  <conditionalFormatting sqref="C1:C1048576">
    <cfRule type="duplicateValues" dxfId="31" priority="1"/>
  </conditionalFormatting>
  <hyperlinks>
    <hyperlink ref="M19" r:id="rId1"/>
    <hyperlink ref="M18" r:id="rId2"/>
    <hyperlink ref="M22" r:id="rId3"/>
  </hyperlinks>
  <printOptions horizontalCentered="1" verticalCentered="1"/>
  <pageMargins left="0.03" right="0.02" top="0.2" bottom="0.16" header="0.18" footer="0.16"/>
  <pageSetup paperSize="9" scale="80" fitToHeight="0" orientation="landscape" r:id="rId4"/>
  <headerFooter alignWithMargins="0"/>
  <legacyDrawing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Dunlop Shop</vt:lpstr>
      <vt:lpstr>DS Bronze</vt:lpstr>
      <vt:lpstr>dunlop_shops_direct_location</vt:lpstr>
      <vt:lpstr>Falken Shop</vt:lpstr>
      <vt:lpstr>Data_Aktual</vt:lpstr>
      <vt:lpstr>Data_Sumber</vt:lpstr>
      <vt:lpstr>'Dunlop Shop'!Print_Area</vt:lpstr>
      <vt:lpstr>'Falken Shop'!Print_Area</vt:lpstr>
      <vt:lpstr>'Dunlop Shop'!Print_Titles</vt:lpstr>
      <vt:lpstr>'Falken Shop'!Print_Titles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Hermawan</dc:creator>
  <cp:lastModifiedBy>Johan Tri Marhadi Fahmi</cp:lastModifiedBy>
  <dcterms:created xsi:type="dcterms:W3CDTF">2025-08-28T10:47:53Z</dcterms:created>
  <dcterms:modified xsi:type="dcterms:W3CDTF">2025-09-30T02:40:08Z</dcterms:modified>
</cp:coreProperties>
</file>